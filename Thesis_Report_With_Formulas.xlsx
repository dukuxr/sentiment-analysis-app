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.DESKTOP-AS9EJCI\OneDrive\Documents\Sentiment analysis\"/>
    </mc:Choice>
  </mc:AlternateContent>
  <xr:revisionPtr revIDLastSave="0" documentId="13_ncr:1_{D8D19E87-6254-428F-9E42-95AD41831F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cutive Summary" sheetId="1" r:id="rId1"/>
    <sheet name="Raw Data" sheetId="2" r:id="rId2"/>
    <sheet name="Key Findings" sheetId="5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  <c r="D12" i="2"/>
  <c r="C12" i="2"/>
  <c r="B12" i="2"/>
  <c r="E12" i="2"/>
  <c r="D11" i="2"/>
  <c r="E11" i="2"/>
  <c r="C11" i="2"/>
  <c r="B11" i="2"/>
  <c r="E10" i="2"/>
  <c r="D10" i="2"/>
  <c r="C10" i="2"/>
  <c r="B10" i="2"/>
  <c r="F9" i="2"/>
  <c r="E9" i="2"/>
  <c r="D9" i="2"/>
  <c r="C9" i="2"/>
  <c r="B9" i="2"/>
  <c r="F14" i="2"/>
  <c r="E14" i="2"/>
  <c r="D14" i="2"/>
  <c r="C14" i="2"/>
  <c r="B14" i="2"/>
  <c r="C7" i="5"/>
  <c r="B7" i="5"/>
  <c r="B9" i="1"/>
  <c r="B4" i="1"/>
  <c r="F10" i="2" l="1"/>
  <c r="F11" i="2"/>
  <c r="F12" i="2"/>
  <c r="B2" i="5"/>
  <c r="C2" i="5"/>
  <c r="B10" i="1"/>
  <c r="C8" i="5"/>
  <c r="B11" i="1"/>
  <c r="B3" i="5" l="1"/>
  <c r="C3" i="5"/>
  <c r="B4" i="5"/>
  <c r="C4" i="5"/>
  <c r="B5" i="5"/>
  <c r="F13" i="2"/>
  <c r="C6" i="5" s="1"/>
  <c r="C5" i="5"/>
  <c r="B6" i="5" l="1"/>
</calcChain>
</file>

<file path=xl/sharedStrings.xml><?xml version="1.0" encoding="utf-8"?>
<sst xmlns="http://schemas.openxmlformats.org/spreadsheetml/2006/main" count="119" uniqueCount="60">
  <si>
    <t>Item</t>
  </si>
  <si>
    <t>Value</t>
  </si>
  <si>
    <t>Project Title</t>
  </si>
  <si>
    <t>Comparative Analysis of ML Algorithms for Sentiment Classification</t>
  </si>
  <si>
    <t>Student Name</t>
  </si>
  <si>
    <t>Date</t>
  </si>
  <si>
    <t>Dataset</t>
  </si>
  <si>
    <t>IMDB Movie Reviews</t>
  </si>
  <si>
    <t>Total Samples</t>
  </si>
  <si>
    <t>25000</t>
  </si>
  <si>
    <t>Training Samples</t>
  </si>
  <si>
    <t>20000</t>
  </si>
  <si>
    <t>Testing Samples</t>
  </si>
  <si>
    <t>5000</t>
  </si>
  <si>
    <t>Algorithms Tested</t>
  </si>
  <si>
    <t>Best Algorithm</t>
  </si>
  <si>
    <t>Best Accuracy (%)</t>
  </si>
  <si>
    <t>Status</t>
  </si>
  <si>
    <t>Experimental Phase Complete</t>
  </si>
  <si>
    <t>Algorithm</t>
  </si>
  <si>
    <t>Accuracy</t>
  </si>
  <si>
    <t>Precision</t>
  </si>
  <si>
    <t>Recall</t>
  </si>
  <si>
    <t>F1-Score</t>
  </si>
  <si>
    <t>Training Time (s)</t>
  </si>
  <si>
    <t>Prediction Time (s)</t>
  </si>
  <si>
    <t>Logistic Regression</t>
  </si>
  <si>
    <t>Naive Bayes</t>
  </si>
  <si>
    <t>Support Vector Machine</t>
  </si>
  <si>
    <t>Random Forest</t>
  </si>
  <si>
    <t>Decision Tree</t>
  </si>
  <si>
    <t>Metric</t>
  </si>
  <si>
    <t>Mean</t>
  </si>
  <si>
    <t>Std Dev</t>
  </si>
  <si>
    <t>Min</t>
  </si>
  <si>
    <t>Max</t>
  </si>
  <si>
    <t>Range</t>
  </si>
  <si>
    <t>Accuracy (%)</t>
  </si>
  <si>
    <t>Precision (%)</t>
  </si>
  <si>
    <t>Recall (%)</t>
  </si>
  <si>
    <t>F1-Score (%)</t>
  </si>
  <si>
    <t>Rank</t>
  </si>
  <si>
    <t>Category</t>
  </si>
  <si>
    <t>Best Accuracy</t>
  </si>
  <si>
    <t>Best Precision</t>
  </si>
  <si>
    <t>Best Recall</t>
  </si>
  <si>
    <t>Best F1-Score</t>
  </si>
  <si>
    <t>Fastest Training</t>
  </si>
  <si>
    <t>Fastest Prediction</t>
  </si>
  <si>
    <t>Average Accuracy</t>
  </si>
  <si>
    <t>All Algorithms</t>
  </si>
  <si>
    <t>Sukh-Ochir Dulguun</t>
  </si>
  <si>
    <t>Score</t>
  </si>
  <si>
    <t>88.30%</t>
  </si>
  <si>
    <t>87.30%</t>
  </si>
  <si>
    <t>84.98%</t>
  </si>
  <si>
    <t>84.16%</t>
  </si>
  <si>
    <t>70.42%</t>
  </si>
  <si>
    <t>88.31%</t>
  </si>
  <si>
    <t>70.43%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</si>
</sst>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243205</xdr:colOff>
      <xdr:row>1</xdr:row>
      <xdr:rowOff>76200</xdr:rowOff>
    </xdr:from>
    <xdr:to>
      <xdr:col>24</xdr:col>
      <xdr:colOff>30480</xdr:colOff>
      <xdr:row>22</xdr:row>
      <xdr:rowOff>84310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EBAE3-F57D-4DA4-854A-D58B1715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2825" y="259080"/>
          <a:ext cx="5883275" cy="38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396240</xdr:colOff>
      <xdr:row>0</xdr:row>
      <xdr:rowOff>99061</xdr:rowOff>
    </xdr:from>
    <xdr:to>
      <xdr:col>37</xdr:col>
      <xdr:colOff>548641</xdr:colOff>
      <xdr:row>22</xdr:row>
      <xdr:rowOff>77751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C62AF-6795-477D-A5E2-D62199AA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1860" y="99061"/>
          <a:ext cx="8077200" cy="400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26581</xdr:colOff>
      <xdr:row>8</xdr:row>
      <xdr:rowOff>124047</xdr:rowOff>
    </xdr:from>
    <xdr:to>
      <xdr:col>2</xdr:col>
      <xdr:colOff>1993604</xdr:colOff>
      <xdr:row>28</xdr:row>
      <xdr:rowOff>4253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B09954-F48D-444B-B601-E7832AC84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" y="1612605"/>
          <a:ext cx="7522535" cy="3601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2" sqref="B12"/>
    </sheetView>
  </sheetViews>
  <sheetFormatPr defaultRowHeight="14.4" x14ac:dyDescent="0.3"/>
  <cols>
    <col min="1" max="1" width="20" customWidth="1"/>
    <col min="2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51</v>
      </c>
    </row>
    <row r="4" spans="1:2" x14ac:dyDescent="0.3">
      <c r="A4" s="2" t="s">
        <v>5</v>
      </c>
      <c r="B4" s="3">
        <f ca="1">TODAY()</f>
        <v>45951</v>
      </c>
    </row>
    <row r="5" spans="1:2" x14ac:dyDescent="0.3">
      <c r="A5" s="2" t="s">
        <v>6</v>
      </c>
      <c r="B5" s="3" t="s">
        <v>7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3">
        <f>COUNTA('Raw Data'!A2:A100)</f>
        <v>12</v>
      </c>
    </row>
    <row r="10" spans="1:2" x14ac:dyDescent="0.3">
      <c r="A10" s="2" t="s">
        <v>15</v>
      </c>
      <c r="B10" s="3" t="str">
        <f>INDEX('Raw Data'!A:A,MATCH(MAX('Raw Data'!B:B),'Raw Data'!B:B,0))</f>
        <v>Logistic Regression</v>
      </c>
    </row>
    <row r="11" spans="1:2" x14ac:dyDescent="0.3">
      <c r="A11" s="2" t="s">
        <v>16</v>
      </c>
      <c r="B11" s="3">
        <f>MAX('Raw Data'!B:B)</f>
        <v>88.3</v>
      </c>
    </row>
    <row r="12" spans="1:2" x14ac:dyDescent="0.3">
      <c r="A12" s="2" t="s">
        <v>17</v>
      </c>
      <c r="B12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="59" zoomScaleNormal="100" workbookViewId="0">
      <selection activeCell="G36" sqref="G36"/>
    </sheetView>
  </sheetViews>
  <sheetFormatPr defaultRowHeight="14.4" x14ac:dyDescent="0.3"/>
  <cols>
    <col min="1" max="1" width="25" customWidth="1"/>
    <col min="2" max="2" width="11" customWidth="1"/>
    <col min="3" max="3" width="14" customWidth="1"/>
    <col min="4" max="4" width="9" customWidth="1"/>
    <col min="5" max="5" width="14" customWidth="1"/>
    <col min="6" max="6" width="20" customWidth="1"/>
    <col min="7" max="7" width="16.77734375" bestFit="1" customWidth="1"/>
    <col min="10" max="10" width="8.33203125" bestFit="1" customWidth="1"/>
    <col min="11" max="11" width="5.21875" bestFit="1" customWidth="1"/>
    <col min="12" max="12" width="20.88671875" bestFit="1" customWidth="1"/>
    <col min="13" max="13" width="8.21875" bestFit="1" customWidth="1"/>
  </cols>
  <sheetData>
    <row r="1" spans="1:13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J1" s="1" t="s">
        <v>31</v>
      </c>
      <c r="K1" s="1" t="s">
        <v>41</v>
      </c>
      <c r="L1" s="1" t="s">
        <v>19</v>
      </c>
      <c r="M1" s="1" t="s">
        <v>52</v>
      </c>
    </row>
    <row r="2" spans="1:13" x14ac:dyDescent="0.3">
      <c r="A2" s="2" t="s">
        <v>26</v>
      </c>
      <c r="B2" s="4">
        <v>88.3</v>
      </c>
      <c r="C2" s="4">
        <v>88.30750827</v>
      </c>
      <c r="D2" s="4">
        <v>88.3</v>
      </c>
      <c r="E2" s="4">
        <v>88.299426670000003</v>
      </c>
      <c r="F2" s="4">
        <v>0.119928598</v>
      </c>
      <c r="G2" s="3">
        <v>5.9652328491210005E-4</v>
      </c>
      <c r="J2" s="2" t="s">
        <v>20</v>
      </c>
      <c r="K2" s="3">
        <v>1</v>
      </c>
      <c r="L2" s="2" t="s">
        <v>26</v>
      </c>
      <c r="M2" s="2" t="s">
        <v>53</v>
      </c>
    </row>
    <row r="3" spans="1:13" x14ac:dyDescent="0.3">
      <c r="A3" s="2" t="s">
        <v>27</v>
      </c>
      <c r="B3" s="4">
        <v>84.98</v>
      </c>
      <c r="C3" s="4">
        <v>84.98125933</v>
      </c>
      <c r="D3" s="4">
        <v>84.98</v>
      </c>
      <c r="E3" s="4">
        <v>84.979864820000003</v>
      </c>
      <c r="F3" s="4">
        <v>4.9672129999999998E-3</v>
      </c>
      <c r="G3" s="3">
        <v>3.0486583709715999E-3</v>
      </c>
      <c r="J3" s="2" t="s">
        <v>20</v>
      </c>
      <c r="K3" s="3">
        <v>2</v>
      </c>
      <c r="L3" s="2" t="s">
        <v>28</v>
      </c>
      <c r="M3" s="2" t="s">
        <v>54</v>
      </c>
    </row>
    <row r="4" spans="1:13" x14ac:dyDescent="0.3">
      <c r="A4" s="2" t="s">
        <v>28</v>
      </c>
      <c r="B4" s="4">
        <v>87.3</v>
      </c>
      <c r="C4" s="4">
        <v>87.300005970000001</v>
      </c>
      <c r="D4" s="4">
        <v>87.3</v>
      </c>
      <c r="E4" s="4">
        <v>87.299999490000005</v>
      </c>
      <c r="F4" s="4">
        <v>0.17922854399999999</v>
      </c>
      <c r="G4" s="3">
        <v>6.6280364990229995E-4</v>
      </c>
      <c r="J4" s="2" t="s">
        <v>20</v>
      </c>
      <c r="K4" s="3">
        <v>3</v>
      </c>
      <c r="L4" s="2" t="s">
        <v>27</v>
      </c>
      <c r="M4" s="2" t="s">
        <v>55</v>
      </c>
    </row>
    <row r="5" spans="1:13" x14ac:dyDescent="0.3">
      <c r="A5" s="2" t="s">
        <v>29</v>
      </c>
      <c r="B5" s="4">
        <v>84.16</v>
      </c>
      <c r="C5" s="4">
        <v>84.162645560000001</v>
      </c>
      <c r="D5" s="4">
        <v>84.16</v>
      </c>
      <c r="E5" s="4">
        <v>84.159693329999996</v>
      </c>
      <c r="F5" s="4">
        <v>2.7639570240000002</v>
      </c>
      <c r="G5" s="3">
        <v>4.1310548782348598E-2</v>
      </c>
      <c r="J5" s="2" t="s">
        <v>20</v>
      </c>
      <c r="K5" s="3">
        <v>4</v>
      </c>
      <c r="L5" s="2" t="s">
        <v>29</v>
      </c>
      <c r="M5" s="2" t="s">
        <v>56</v>
      </c>
    </row>
    <row r="6" spans="1:13" x14ac:dyDescent="0.3">
      <c r="A6" s="2" t="s">
        <v>30</v>
      </c>
      <c r="B6" s="4">
        <v>70.42</v>
      </c>
      <c r="C6" s="4">
        <v>70.428501530000005</v>
      </c>
      <c r="D6" s="4">
        <v>70.42</v>
      </c>
      <c r="E6" s="4">
        <v>70.41692218</v>
      </c>
      <c r="F6" s="4">
        <v>14.33858633</v>
      </c>
      <c r="G6" s="3">
        <v>3.1878948211668998E-3</v>
      </c>
      <c r="J6" s="2" t="s">
        <v>20</v>
      </c>
      <c r="K6" s="3">
        <v>5</v>
      </c>
      <c r="L6" s="2" t="s">
        <v>30</v>
      </c>
      <c r="M6" s="2" t="s">
        <v>57</v>
      </c>
    </row>
    <row r="7" spans="1:13" x14ac:dyDescent="0.3">
      <c r="J7" s="2" t="s">
        <v>21</v>
      </c>
      <c r="K7" s="3">
        <v>1</v>
      </c>
      <c r="L7" s="2" t="s">
        <v>26</v>
      </c>
      <c r="M7" s="2" t="s">
        <v>58</v>
      </c>
    </row>
    <row r="8" spans="1:13" x14ac:dyDescent="0.3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J8" s="2" t="s">
        <v>21</v>
      </c>
      <c r="K8" s="3">
        <v>2</v>
      </c>
      <c r="L8" s="2" t="s">
        <v>28</v>
      </c>
      <c r="M8" s="2" t="s">
        <v>54</v>
      </c>
    </row>
    <row r="9" spans="1:13" x14ac:dyDescent="0.3">
      <c r="A9" s="2" t="s">
        <v>37</v>
      </c>
      <c r="B9" s="4">
        <f>AVERAGE('Raw Data'!B2:B6)</f>
        <v>83.032000000000011</v>
      </c>
      <c r="C9" s="3">
        <f>STDEV('Raw Data'!B2:B6)</f>
        <v>7.2473664182239315</v>
      </c>
      <c r="D9" s="4">
        <f>MIN('Raw Data'!B2:B6)</f>
        <v>70.42</v>
      </c>
      <c r="E9" s="4">
        <f>MAX('Raw Data'!B2:B6)</f>
        <v>88.3</v>
      </c>
      <c r="F9" s="4">
        <f>E9-D9</f>
        <v>17.879999999999995</v>
      </c>
      <c r="J9" s="2" t="s">
        <v>21</v>
      </c>
      <c r="K9" s="3">
        <v>3</v>
      </c>
      <c r="L9" s="2" t="s">
        <v>27</v>
      </c>
      <c r="M9" s="2" t="s">
        <v>55</v>
      </c>
    </row>
    <row r="10" spans="1:13" x14ac:dyDescent="0.3">
      <c r="A10" s="2" t="s">
        <v>38</v>
      </c>
      <c r="B10" s="4">
        <f>AVERAGE('Raw Data'!C2:C6)</f>
        <v>83.035984131999996</v>
      </c>
      <c r="C10" s="3">
        <f>STDEV('Raw Data'!C2:C6)</f>
        <v>7.2452213234222009</v>
      </c>
      <c r="D10" s="4">
        <f>MIN('Raw Data'!C2:C6)</f>
        <v>70.428501530000005</v>
      </c>
      <c r="E10" s="4">
        <f>MAX('Raw Data'!C2:C6)</f>
        <v>88.30750827</v>
      </c>
      <c r="F10" s="3">
        <f t="shared" ref="F9:F14" si="0">E10-D10</f>
        <v>17.879006739999994</v>
      </c>
      <c r="J10" s="2" t="s">
        <v>21</v>
      </c>
      <c r="K10" s="3">
        <v>4</v>
      </c>
      <c r="L10" s="2" t="s">
        <v>29</v>
      </c>
      <c r="M10" s="2" t="s">
        <v>56</v>
      </c>
    </row>
    <row r="11" spans="1:13" x14ac:dyDescent="0.3">
      <c r="A11" s="2" t="s">
        <v>39</v>
      </c>
      <c r="B11" s="4">
        <f>AVERAGE('Raw Data'!D2:D6)</f>
        <v>83.032000000000011</v>
      </c>
      <c r="C11" s="3">
        <f>STDEV('Raw Data'!D2:D6)</f>
        <v>7.2473664182239315</v>
      </c>
      <c r="D11" s="4">
        <f>MIN('Raw Data'!D2:D6)</f>
        <v>70.42</v>
      </c>
      <c r="E11" s="4">
        <f>MAX('Raw Data'!D2:D6)</f>
        <v>88.3</v>
      </c>
      <c r="F11" s="3">
        <f t="shared" si="0"/>
        <v>17.879999999999995</v>
      </c>
      <c r="J11" s="2" t="s">
        <v>21</v>
      </c>
      <c r="K11" s="3">
        <v>5</v>
      </c>
      <c r="L11" s="2" t="s">
        <v>30</v>
      </c>
      <c r="M11" s="2" t="s">
        <v>59</v>
      </c>
    </row>
    <row r="12" spans="1:13" x14ac:dyDescent="0.3">
      <c r="A12" s="2" t="s">
        <v>40</v>
      </c>
      <c r="B12" s="4">
        <f>AVERAGE('Raw Data'!E2:E6)</f>
        <v>83.031181298000007</v>
      </c>
      <c r="C12" s="3">
        <f>STDEV('Raw Data'!E2:E6)</f>
        <v>7.2485801717867275</v>
      </c>
      <c r="D12" s="4">
        <f>MIN('Raw Data'!E2:E6)</f>
        <v>70.41692218</v>
      </c>
      <c r="E12" s="4">
        <f>MAX('Raw Data'!E2:E6)</f>
        <v>88.299426670000003</v>
      </c>
      <c r="F12" s="3">
        <f t="shared" si="0"/>
        <v>17.882504490000002</v>
      </c>
      <c r="J12" s="2" t="s">
        <v>22</v>
      </c>
      <c r="K12" s="3">
        <v>1</v>
      </c>
      <c r="L12" s="2" t="s">
        <v>26</v>
      </c>
      <c r="M12" s="2" t="s">
        <v>53</v>
      </c>
    </row>
    <row r="13" spans="1:13" x14ac:dyDescent="0.3">
      <c r="A13" s="2" t="s">
        <v>24</v>
      </c>
      <c r="B13" s="4">
        <f>AVERAGE('Raw Data'!F2:F6)</f>
        <v>3.4813335418000002</v>
      </c>
      <c r="C13" s="3">
        <f>STDEV('Raw Data'!F2:F6)</f>
        <v>6.1782406605740263</v>
      </c>
      <c r="D13" s="4">
        <f>MIN('Raw Data'!F2:F6)</f>
        <v>4.9672129999999998E-3</v>
      </c>
      <c r="E13" s="4">
        <f>MAX('Raw Data'!F2:F6)</f>
        <v>14.33858633</v>
      </c>
      <c r="F13" s="3">
        <f t="shared" si="0"/>
        <v>14.333619117</v>
      </c>
      <c r="J13" s="2" t="s">
        <v>22</v>
      </c>
      <c r="K13" s="3">
        <v>2</v>
      </c>
      <c r="L13" s="2" t="s">
        <v>28</v>
      </c>
      <c r="M13" s="2" t="s">
        <v>54</v>
      </c>
    </row>
    <row r="14" spans="1:13" x14ac:dyDescent="0.3">
      <c r="A14" s="2" t="s">
        <v>25</v>
      </c>
      <c r="B14" s="3">
        <f>AVERAGE('Raw Data'!G2:G6)</f>
        <v>9.7612857818603002E-3</v>
      </c>
      <c r="C14" s="3">
        <f>AVERAGE('Raw Data'!G2:G6)</f>
        <v>9.7612857818603002E-3</v>
      </c>
      <c r="D14" s="3">
        <f>AVERAGE('Raw Data'!G2:G6)</f>
        <v>9.7612857818603002E-3</v>
      </c>
      <c r="E14" s="3">
        <f>AVERAGE('Raw Data'!G2:G6)</f>
        <v>9.7612857818603002E-3</v>
      </c>
      <c r="F14" s="3">
        <f>AVERAGE('Raw Data'!G2:G6)</f>
        <v>9.7612857818603002E-3</v>
      </c>
      <c r="J14" s="2" t="s">
        <v>22</v>
      </c>
      <c r="K14" s="3">
        <v>3</v>
      </c>
      <c r="L14" s="2" t="s">
        <v>27</v>
      </c>
      <c r="M14" s="2" t="s">
        <v>55</v>
      </c>
    </row>
    <row r="15" spans="1:13" x14ac:dyDescent="0.3">
      <c r="J15" s="2" t="s">
        <v>22</v>
      </c>
      <c r="K15" s="3">
        <v>4</v>
      </c>
      <c r="L15" s="2" t="s">
        <v>29</v>
      </c>
      <c r="M15" s="2" t="s">
        <v>56</v>
      </c>
    </row>
    <row r="16" spans="1:13" x14ac:dyDescent="0.3">
      <c r="J16" s="2" t="s">
        <v>22</v>
      </c>
      <c r="K16" s="3">
        <v>5</v>
      </c>
      <c r="L16" s="2" t="s">
        <v>30</v>
      </c>
      <c r="M16" s="2" t="s">
        <v>57</v>
      </c>
    </row>
    <row r="17" spans="10:13" x14ac:dyDescent="0.3">
      <c r="J17" s="2" t="s">
        <v>23</v>
      </c>
      <c r="K17" s="3">
        <v>1</v>
      </c>
      <c r="L17" s="2" t="s">
        <v>26</v>
      </c>
      <c r="M17" s="2" t="s">
        <v>53</v>
      </c>
    </row>
    <row r="18" spans="10:13" x14ac:dyDescent="0.3">
      <c r="J18" s="2" t="s">
        <v>23</v>
      </c>
      <c r="K18" s="3">
        <v>2</v>
      </c>
      <c r="L18" s="2" t="s">
        <v>28</v>
      </c>
      <c r="M18" s="2" t="s">
        <v>54</v>
      </c>
    </row>
    <row r="19" spans="10:13" x14ac:dyDescent="0.3">
      <c r="J19" s="2" t="s">
        <v>23</v>
      </c>
      <c r="K19" s="3">
        <v>3</v>
      </c>
      <c r="L19" s="2" t="s">
        <v>27</v>
      </c>
      <c r="M19" s="2" t="s">
        <v>55</v>
      </c>
    </row>
    <row r="20" spans="10:13" x14ac:dyDescent="0.3">
      <c r="J20" s="2" t="s">
        <v>23</v>
      </c>
      <c r="K20" s="3">
        <v>4</v>
      </c>
      <c r="L20" s="2" t="s">
        <v>29</v>
      </c>
      <c r="M20" s="2" t="s">
        <v>56</v>
      </c>
    </row>
    <row r="21" spans="10:13" x14ac:dyDescent="0.3">
      <c r="J21" s="2" t="s">
        <v>23</v>
      </c>
      <c r="K21" s="3">
        <v>5</v>
      </c>
      <c r="L21" s="2" t="s">
        <v>30</v>
      </c>
      <c r="M21" s="2" t="s">
        <v>57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zoomScale="86" workbookViewId="0">
      <selection activeCell="H17" sqref="H17"/>
    </sheetView>
  </sheetViews>
  <sheetFormatPr defaultRowHeight="14.4" x14ac:dyDescent="0.3"/>
  <cols>
    <col min="1" max="1" width="21" customWidth="1"/>
    <col min="2" max="2" width="60" customWidth="1"/>
    <col min="3" max="3" width="31" customWidth="1"/>
  </cols>
  <sheetData>
    <row r="1" spans="1:3" x14ac:dyDescent="0.3">
      <c r="A1" s="1" t="s">
        <v>42</v>
      </c>
      <c r="B1" s="1" t="s">
        <v>19</v>
      </c>
      <c r="C1" s="1" t="s">
        <v>1</v>
      </c>
    </row>
    <row r="2" spans="1:3" x14ac:dyDescent="0.3">
      <c r="A2" s="2" t="s">
        <v>43</v>
      </c>
      <c r="B2" s="3" t="str">
        <f>INDEX('Raw Data'!A:A,MATCH(MAX('Raw Data'!B:B),'Raw Data'!B:B,0))</f>
        <v>Logistic Regression</v>
      </c>
      <c r="C2" s="3" t="str">
        <f>MAX('Raw Data'!B:B)&amp;"%"</f>
        <v>88.3%</v>
      </c>
    </row>
    <row r="3" spans="1:3" x14ac:dyDescent="0.3">
      <c r="A3" s="2" t="s">
        <v>44</v>
      </c>
      <c r="B3" s="3" t="str">
        <f>INDEX('Raw Data'!A:A,MATCH(MAX('Raw Data'!C:C),'Raw Data'!C:C,0))</f>
        <v>Logistic Regression</v>
      </c>
      <c r="C3" s="3" t="str">
        <f>MAX('Raw Data'!C:C)&amp;"%"</f>
        <v>88.30750827%</v>
      </c>
    </row>
    <row r="4" spans="1:3" x14ac:dyDescent="0.3">
      <c r="A4" s="2" t="s">
        <v>45</v>
      </c>
      <c r="B4" s="3" t="str">
        <f>INDEX('Raw Data'!A:A,MATCH(MAX('Raw Data'!D:D),'Raw Data'!D:D,0))</f>
        <v>Logistic Regression</v>
      </c>
      <c r="C4" s="3" t="str">
        <f>MAX('Raw Data'!D:D)&amp;"%"</f>
        <v>88.3%</v>
      </c>
    </row>
    <row r="5" spans="1:3" x14ac:dyDescent="0.3">
      <c r="A5" s="2" t="s">
        <v>46</v>
      </c>
      <c r="B5" s="3" t="str">
        <f>INDEX('Raw Data'!A:A,MATCH(MAX('Raw Data'!E:E),'Raw Data'!E:E,0))</f>
        <v>Precision (%)</v>
      </c>
      <c r="C5" s="3" t="str">
        <f>MAX('Raw Data'!E:E)&amp;"%"</f>
        <v>88.30750827%</v>
      </c>
    </row>
    <row r="6" spans="1:3" x14ac:dyDescent="0.3">
      <c r="A6" s="2" t="s">
        <v>47</v>
      </c>
      <c r="B6" s="3" t="str">
        <f>INDEX('Raw Data'!A:A,MATCH(MIN('Raw Data'!F:F),'Raw Data'!F:F,0))</f>
        <v>Naive Bayes</v>
      </c>
      <c r="C6" s="3" t="str">
        <f>MIN('Raw Data'!F:F)&amp;" sec"</f>
        <v>0.004967213 sec</v>
      </c>
    </row>
    <row r="7" spans="1:3" x14ac:dyDescent="0.3">
      <c r="A7" s="2" t="s">
        <v>48</v>
      </c>
      <c r="B7" s="3" t="str">
        <f>INDEX('Raw Data'!A:A,MATCH(MIN('Raw Data'!G:G),'Raw Data'!G:G,0))</f>
        <v>Logistic Regression</v>
      </c>
      <c r="C7" s="3" t="str">
        <f>MIN('Raw Data'!G:G)&amp;" sec"</f>
        <v>0.0005965232849121 sec</v>
      </c>
    </row>
    <row r="8" spans="1:3" x14ac:dyDescent="0.3">
      <c r="A8" s="2" t="s">
        <v>49</v>
      </c>
      <c r="B8" s="3" t="s">
        <v>50</v>
      </c>
      <c r="C8" s="3" t="str">
        <f>AVERAGE('Raw Data'!B:B)&amp;"%"</f>
        <v>68.2529327506893%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Raw Data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Dulguun Sukhochir</cp:lastModifiedBy>
  <dcterms:created xsi:type="dcterms:W3CDTF">2025-10-21T08:54:43Z</dcterms:created>
  <dcterms:modified xsi:type="dcterms:W3CDTF">2025-10-21T09:21:02Z</dcterms:modified>
</cp:coreProperties>
</file>