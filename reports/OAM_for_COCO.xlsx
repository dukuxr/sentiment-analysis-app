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.DESKTOP-AS9EJCI\OneDrive\Documents\Sentiment analysis\"/>
    </mc:Choice>
  </mc:AlternateContent>
  <xr:revisionPtr revIDLastSave="0" documentId="13_ncr:1_{86240A73-7FE8-422E-A508-040EF229C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AM Matrix" sheetId="1" r:id="rId1"/>
    <sheet name="COCO Input Format" sheetId="2" r:id="rId2"/>
    <sheet name="Instructions" sheetId="3" r:id="rId3"/>
    <sheet name="Correlation Summary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J2" i="2" s="1"/>
  <c r="D2" i="2"/>
  <c r="D3" i="2"/>
  <c r="C2" i="2"/>
  <c r="E2" i="2"/>
  <c r="F2" i="2"/>
  <c r="G2" i="2"/>
  <c r="H2" i="2"/>
  <c r="I2" i="2"/>
  <c r="B2" i="2"/>
  <c r="I3" i="2"/>
  <c r="H3" i="2"/>
  <c r="G3" i="2"/>
  <c r="F3" i="2"/>
  <c r="E3" i="2"/>
  <c r="C3" i="2"/>
  <c r="B3" i="2"/>
</calcChain>
</file>

<file path=xl/sharedStrings.xml><?xml version="1.0" encoding="utf-8"?>
<sst xmlns="http://schemas.openxmlformats.org/spreadsheetml/2006/main" count="945" uniqueCount="304">
  <si>
    <t>review_id</t>
  </si>
  <si>
    <t>review_preview</t>
  </si>
  <si>
    <t>positive_words</t>
  </si>
  <si>
    <t>negative_words</t>
  </si>
  <si>
    <t>exclamations</t>
  </si>
  <si>
    <t>review_length</t>
  </si>
  <si>
    <t>capital_ratio</t>
  </si>
  <si>
    <t>questions</t>
  </si>
  <si>
    <t>pos_neg_ratio</t>
  </si>
  <si>
    <t>word_diversity</t>
  </si>
  <si>
    <t>actual_sentiment</t>
  </si>
  <si>
    <t>Review_528</t>
  </si>
  <si>
    <t>Of course if you are reading my review you have seen this film already.'Raja Babu' is one of my most...</t>
  </si>
  <si>
    <t>Review_12654</t>
  </si>
  <si>
    <t>I didn't expect much from this film, but oh brother, what a stinker.  I found this gem in a giant cr...</t>
  </si>
  <si>
    <t>Review_5601</t>
  </si>
  <si>
    <t>If you hit your head with a shovel, write the script with your feet, you may come close to the intel...</t>
  </si>
  <si>
    <t>Review_11950</t>
  </si>
  <si>
    <t>It seems there's a bit of a curse out there when it comes to gay cinema. Namely, happy endings aren'...</t>
  </si>
  <si>
    <t>Review_21051</t>
  </si>
  <si>
    <t>First of all, the only reason people keep bitching about this film is because they can't stand a few...</t>
  </si>
  <si>
    <t>Review_20137</t>
  </si>
  <si>
    <t>This is certainly one of the most bizarre films ever made - even for Fellini. About the only one mor...</t>
  </si>
  <si>
    <t>Review_23769</t>
  </si>
  <si>
    <t>Pay no attention to the comments behind the curtain! The majority of people leaving positive comment...</t>
  </si>
  <si>
    <t>Review_3533</t>
  </si>
  <si>
    <t>I am a back Batman movie and TV fan. I loved the show (new and old) and I loved all the movies. But ...</t>
  </si>
  <si>
    <t>Review_11297</t>
  </si>
  <si>
    <t>I actually went to see this film in a theater, but what a complete waste of time and money! Bad acti...</t>
  </si>
  <si>
    <t>Review_11496</t>
  </si>
  <si>
    <t>Nobody said movies had to be realistic did they? I really liked this movie because I remember when I...</t>
  </si>
  <si>
    <t>Review_14398</t>
  </si>
  <si>
    <t>Fascinating yet unsettling look at Edith Bouvier Beale (Big Edie) and her daughter (Little Edie) aun...</t>
  </si>
  <si>
    <t>Review_20249</t>
  </si>
  <si>
    <t>'Scoop' is easily Woody Allen's funniest film of the 2000's so far. Allen, although finally looking ...</t>
  </si>
  <si>
    <t>Review_14427</t>
  </si>
  <si>
    <t>I have been searching for the right words to describe this film. At first I was inclined to simply s...</t>
  </si>
  <si>
    <t>Review_23396</t>
  </si>
  <si>
    <t>Given how corny these movies are, you gotta figure that they must have had fun making them. The movi...</t>
  </si>
  <si>
    <t>Review_9812</t>
  </si>
  <si>
    <t>i would like to comment the series as a great effort. The story line although requiring a few improv...</t>
  </si>
  <si>
    <t>Review_5621</t>
  </si>
  <si>
    <t>Rented and watched this short (&lt; 90 minutes) work. It's by far the best treatment Modesty has receiv...</t>
  </si>
  <si>
    <t>Review_1682</t>
  </si>
  <si>
    <t>this is without a doubt the worst most idiotic horrible piece o' crap i have ever watched.  this mov...</t>
  </si>
  <si>
    <t>Review_11834</t>
  </si>
  <si>
    <t>Bette Davis brings her full trunk of tics to this miserable flop which is another variation on the '...</t>
  </si>
  <si>
    <t>Review_4952</t>
  </si>
  <si>
    <t>This starts off bad, what with the three women acting like simpering junior high school wussies sitt...</t>
  </si>
  <si>
    <t>Review_7847</t>
  </si>
  <si>
    <t>Even if you're not a big Ramones fan, Rock'N' Roll High School is *still* the greatest rock'n' roll ...</t>
  </si>
  <si>
    <t>Review_11386</t>
  </si>
  <si>
    <t>Powers Booth is hypnotic as cult leader jim jones who led his Peoples Temple followers from 1953 unt...</t>
  </si>
  <si>
    <t>Review_1675</t>
  </si>
  <si>
    <t>One of the best love stories I have ever seen. It is a bit like watching a train wreck in slow motio...</t>
  </si>
  <si>
    <t>Review_20503</t>
  </si>
  <si>
    <t>The story is about Ankush (Abhay Deol) - who is professional marriage witness, in short he acts as a...</t>
  </si>
  <si>
    <t>Review_11703</t>
  </si>
  <si>
    <t>Inspector Gadget was probably my all-time favorite 80's cartoon. I enjoyed both the first and second...</t>
  </si>
  <si>
    <t>Review_5800</t>
  </si>
  <si>
    <t>I may not have the longest of attention-spans, but this is the second movie I have refused to see al...</t>
  </si>
  <si>
    <t>Review_3529</t>
  </si>
  <si>
    <t>This film was just absolutly brilliant. It actually made me think. During the whole movie I was conf...</t>
  </si>
  <si>
    <t>Review_11792</t>
  </si>
  <si>
    <t>My one line summary should explain it all, but I'll have a go at it.  From the get-go, this movie se...</t>
  </si>
  <si>
    <t>Review_17788</t>
  </si>
  <si>
    <t>I happen to be the director's nephew. It's taken me years to get my hands on a copy of this film and...</t>
  </si>
  <si>
    <t>Review_23286</t>
  </si>
  <si>
    <t>Ok I will sum up this movie... A bunch of skanky British women have some disease that basically is t...</t>
  </si>
  <si>
    <t>Review_5418</t>
  </si>
  <si>
    <t>Police story brought Hong Kong movies to modern day cinema.  Jackie plays a policeman who tries to c...</t>
  </si>
  <si>
    <t>Review_20142</t>
  </si>
  <si>
    <t>I actually had quite high hopes going into this movie, so I took what was given with a grain of salt...</t>
  </si>
  <si>
    <t>Review_21005</t>
  </si>
  <si>
    <t>There are many police dramas doing the rounds. I am not sure why. It's probably to do with the old b...</t>
  </si>
  <si>
    <t>Review_20887</t>
  </si>
  <si>
    <t>I am very tolerant of really bad sci/fi and horror movies - I've been watching them since I was 4 or...</t>
  </si>
  <si>
    <t>Review_23922</t>
  </si>
  <si>
    <t>Incredibly ARTISTIC NOBODY COULD MAKE THEM NOW I THINK.It seem to be perfect the biggest and the gre...</t>
  </si>
  <si>
    <t>Review_11557</t>
  </si>
  <si>
    <t>A true anomaly in the French cinema ,this despairing work has no equivalent in the contemporary prod...</t>
  </si>
  <si>
    <t>Review_17840</t>
  </si>
  <si>
    <t>I bought the DVD of Before Sunset and saw it for the first time a week ago. Having saw it twice, I c...</t>
  </si>
  <si>
    <t>Review_21071</t>
  </si>
  <si>
    <t>The Haunting, if you have seen the original, you know a great ghost story, it's perfection on film. ...</t>
  </si>
  <si>
    <t>Review_16525</t>
  </si>
  <si>
    <t>Shallow, shallow script ...stilted acting ...the shadows of boom mikes lingering over the actors' he...</t>
  </si>
  <si>
    <t>Review_20244</t>
  </si>
  <si>
    <t>I understand this film to be a debut feature and as such, it is very impressive. It has the feel and...</t>
  </si>
  <si>
    <t>Review_8124</t>
  </si>
  <si>
    <t>This film is terrible. I was really looking forward to it, as I thought 'Lantana' was great.  The fo...</t>
  </si>
  <si>
    <t>Review_16615</t>
  </si>
  <si>
    <t>It sounds as if it should be a biography of Claude Monet but it's actually a highly focused story of...</t>
  </si>
  <si>
    <t>Review_4886</t>
  </si>
  <si>
    <t>In my opinion, this is the best stand-up show I have ever seen. I became an instant Eddie fan after ...</t>
  </si>
  <si>
    <t>Review_21137</t>
  </si>
  <si>
    <t>MINOR SPOILER  Underrated little Stephen King shocker. It's not perfect, by any stretch of the imagi...</t>
  </si>
  <si>
    <t>Review_20377</t>
  </si>
  <si>
    <t>'Power Play' starts off interesting but it goes down hill fast. The only good actor is Tobin Bell an...</t>
  </si>
  <si>
    <t>Review_11675</t>
  </si>
  <si>
    <t>Although I've long been a fan of Peter Weir, I hadn't watched any of his Australian movies until I w...</t>
  </si>
  <si>
    <t>Review_10992</t>
  </si>
  <si>
    <t>A couple(Janet and Richard) go camping out in the woods near a giant swamp. After camping and enjoyi...</t>
  </si>
  <si>
    <t>Review_20946</t>
  </si>
  <si>
    <t>Before I watched this film I read a review here stating that this film could possibly be one of the ...</t>
  </si>
  <si>
    <t>Review_12420</t>
  </si>
  <si>
    <t>One of the greatest westerns of all time! But this one, unlike many others, does not deal with the n...</t>
  </si>
  <si>
    <t>Review_10043</t>
  </si>
  <si>
    <t>SLIGHT SPOILERS (but it doesn't matter anyway).  An exercise in gobblygook of catastrophic proportio...</t>
  </si>
  <si>
    <t>Review_454</t>
  </si>
  <si>
    <t>When a movie of a book seems pointless and incomprehensible, the cause can invariably be found in th...</t>
  </si>
  <si>
    <t>ATTRIBUTE TYPE</t>
  </si>
  <si>
    <t>X</t>
  </si>
  <si>
    <t>Y</t>
  </si>
  <si>
    <t>DIRECTION</t>
  </si>
  <si>
    <t>CORRELATION</t>
  </si>
  <si>
    <t>UNIT</t>
  </si>
  <si>
    <t>count/ratio</t>
  </si>
  <si>
    <t>*1000</t>
  </si>
  <si>
    <t>Object_ID</t>
  </si>
  <si>
    <t>Sentiment_Score</t>
  </si>
  <si>
    <t>HOW TO USE WITH COCO SYSTEM</t>
  </si>
  <si>
    <t>Step 1: Open the COCO Standard Interface</t>
  </si>
  <si>
    <t xml:space="preserve">   Go to: https://miau.my-x.hu/myx-free/coco/beker_std.php</t>
  </si>
  <si>
    <t>Step 2: Prepare Your Data</t>
  </si>
  <si>
    <t xml:space="preserve">   - Go to 'COCO Input Format' sheet in this Excel file</t>
  </si>
  <si>
    <t xml:space="preserve">   - Copy the RANKED VALUES (starting from row 6, column B)</t>
  </si>
  <si>
    <t xml:space="preserve">   - Include ALL columns including the sentiment score</t>
  </si>
  <si>
    <t>Step 3: Paste into COCO</t>
  </si>
  <si>
    <t xml:space="preserve">   - In the COCO interface, paste your data into the text boxes</t>
  </si>
  <si>
    <t xml:space="preserve">   - Each row = one object (review)</t>
  </si>
  <si>
    <t xml:space="preserve">   - Each column = one attribute</t>
  </si>
  <si>
    <t xml:space="preserve">   - Last column = Y value (sentiment * 1000)</t>
  </si>
  <si>
    <t>Step 4: Run Analysis</t>
  </si>
  <si>
    <t xml:space="preserve">   - Click 'Calculate' or 'Run' button</t>
  </si>
  <si>
    <t xml:space="preserve">   - COCO will identify patterns and predict sentiment</t>
  </si>
  <si>
    <t>Step 5: Interpret Results</t>
  </si>
  <si>
    <t xml:space="preserve">   - Check 'delta/fact' values (closer to 0 = better)</t>
  </si>
  <si>
    <t xml:space="preserve">   - Look at genetic potential (S1 cell)</t>
  </si>
  <si>
    <t xml:space="preserve">   - Compare with ML accuracy from your thesis</t>
  </si>
  <si>
    <t>IMPORTANT NOTES:</t>
  </si>
  <si>
    <t>1. Data Format:</t>
  </si>
  <si>
    <t xml:space="preserve">   - Values are RANKED (1, 2, 3, ...) not raw counts</t>
  </si>
  <si>
    <t xml:space="preserve">   - Direction matters (0 = higher is better, 1 = lower is better)</t>
  </si>
  <si>
    <t xml:space="preserve">   - Y values multiplied by 1000 (COCO convention)</t>
  </si>
  <si>
    <t>2. Correlation Values:</t>
  </si>
  <si>
    <t xml:space="preserve">   - Positive correlation: attribute increases with positive sentiment</t>
  </si>
  <si>
    <t xml:space="preserve">   - Negative correlation: attribute increases with negative sentiment</t>
  </si>
  <si>
    <t>3. Sample Size:</t>
  </si>
  <si>
    <t xml:space="preserve">   - Currently using 50 reviews</t>
  </si>
  <si>
    <t xml:space="preserve">   - You can increase this by changing n_samples parameter</t>
  </si>
  <si>
    <t xml:space="preserve">   - Recommended: 20-100 objects for COCO</t>
  </si>
  <si>
    <t>4. Attributes Explained:</t>
  </si>
  <si>
    <t xml:space="preserve">   - positive_words: Count of positive sentiment words</t>
  </si>
  <si>
    <t xml:space="preserve">   - negative_words: Count of negative sentiment words</t>
  </si>
  <si>
    <t xml:space="preserve">   - exclamations: Number of ! marks (emotion intensity)</t>
  </si>
  <si>
    <t xml:space="preserve">   - review_length: Total words in review</t>
  </si>
  <si>
    <t xml:space="preserve">   - capital_ratio: Percentage of capital letters (shouting)</t>
  </si>
  <si>
    <t xml:space="preserve">   - questions: Number of ? marks (uncertainty)</t>
  </si>
  <si>
    <t xml:space="preserve">   - pos_neg_ratio: Ratio of positive to negative words</t>
  </si>
  <si>
    <t xml:space="preserve">   - word_diversity: Unique words / total words</t>
  </si>
  <si>
    <t>Attribute</t>
  </si>
  <si>
    <t>Correlation with Sentiment</t>
  </si>
  <si>
    <t>Direction</t>
  </si>
  <si>
    <t>Interpretation</t>
  </si>
  <si>
    <t>Negative</t>
  </si>
  <si>
    <t>Higher values → More negative sentiment</t>
  </si>
  <si>
    <t>Positive</t>
  </si>
  <si>
    <t>Higher values → More positive sentiment</t>
  </si>
  <si>
    <t>Azonosító:</t>
  </si>
  <si>
    <t>Objektumok:</t>
  </si>
  <si>
    <t>Attribútumok:</t>
  </si>
  <si>
    <t>Lépcsôk:</t>
  </si>
  <si>
    <t>Eltolás:</t>
  </si>
  <si>
    <t>Leírás:</t>
  </si>
  <si>
    <t>COCO STD: 9657321</t>
  </si>
  <si>
    <t>Rangsor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</si>
  <si>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</si>
  <si>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</si>
  <si>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</si>
  <si>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</si>
  <si>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</si>
  <si>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</si>
  <si>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</si>
  <si>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</si>
  <si>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Y(A9)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</si>
  <si>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</si>
  <si>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</si>
  <si>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</si>
  <si>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</si>
  <si>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</si>
  <si>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</si>
  <si>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</si>
  <si>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</si>
  <si>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</si>
  <si>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</si>
  <si>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</si>
  <si>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</si>
  <si>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</si>
  <si>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</si>
  <si>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</si>
  <si>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</si>
  <si>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</si>
  <si>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</si>
  <si>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</si>
  <si>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</si>
  <si>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</si>
  <si>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</si>
  <si>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</si>
  <si>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</si>
  <si>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</si>
  <si>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</si>
  <si>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</si>
  <si>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</si>
  <si>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</si>
  <si>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</si>
  <si>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</si>
  <si>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</si>
  <si>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</si>
  <si>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</si>
  <si>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</si>
  <si>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</si>
  <si>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</si>
  <si>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</si>
  <si>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</si>
  <si>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</si>
  <si>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</si>
  <si>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</si>
  <si>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</si>
  <si>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</si>
  <si>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</si>
  <si>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</si>
  <si>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</si>
  <si>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</si>
  <si>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</si>
  <si>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</si>
  <si>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Lépcsôk(1)</t>
  </si>
  <si>
    <t>S1</t>
  </si>
  <si>
    <t>(0+0)/(2)=0</t>
  </si>
  <si>
    <t>(1063.8+0)/(2)=531.9</t>
  </si>
  <si>
    <t>(0+1063.8)/(2)=531.9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</si>
  <si>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</si>
  <si>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</si>
  <si>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</si>
  <si>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</si>
  <si>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</si>
  <si>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</si>
  <si>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</si>
  <si>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</si>
  <si>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</si>
  <si>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</si>
  <si>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</si>
  <si>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</si>
  <si>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</si>
  <si>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</si>
  <si>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</si>
  <si>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</si>
  <si>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</si>
  <si>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</si>
  <si>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</si>
  <si>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</si>
  <si>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</si>
  <si>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</si>
  <si>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</si>
  <si>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</si>
  <si>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</si>
  <si>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</si>
  <si>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</si>
  <si>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</si>
  <si>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</si>
  <si>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</si>
  <si>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</si>
  <si>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</si>
  <si>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</si>
  <si>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</si>
  <si>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</si>
  <si>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</si>
  <si>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</si>
  <si>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</si>
  <si>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</si>
  <si>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</si>
  <si>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</si>
  <si>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</si>
  <si>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</si>
  <si>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</si>
  <si>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</si>
  <si>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</si>
  <si>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</si>
  <si>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</si>
  <si>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</si>
  <si>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Lépcsôk(2)</t>
  </si>
  <si>
    <t>COCO:STD</t>
  </si>
  <si>
    <t>Becslés</t>
  </si>
  <si>
    <t>Tény+0</t>
  </si>
  <si>
    <t>Delta</t>
  </si>
  <si>
    <t>Delta/Tény</t>
  </si>
  <si>
    <t>S1 összeg:</t>
  </si>
  <si>
    <t>S50 összeg:</t>
  </si>
  <si>
    <t>Becslés összeg:</t>
  </si>
  <si>
    <t>Tény összeg:</t>
  </si>
  <si>
    <t>Tény-becslés eltérés:</t>
  </si>
  <si>
    <t>Tény négyzetösszeg:</t>
  </si>
  <si>
    <t>Becslés négyzetösszeg:</t>
  </si>
  <si>
    <t>Négyzetösszeg hiba: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</si>
</sst>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sz val="14"/>
      <color rgb="FF000000"/>
      <name val="Times New Roman"/>
      <family val="1"/>
    </font>
    <font>
      <sz val="7"/>
      <color rgb="FF000000"/>
      <name val="Verdana"/>
      <family val="2"/>
    </font>
    <font>
      <b/>
      <sz val="7"/>
      <color rgb="FF000000"/>
      <name val="Verdana"/>
      <family val="2"/>
    </font>
    <font>
      <b/>
      <sz val="5"/>
      <color rgb="FFFFFFFF"/>
      <name val="Verdana"/>
      <family val="2"/>
    </font>
    <font>
      <sz val="5"/>
      <color rgb="FF333333"/>
      <name val="Verdana"/>
      <family val="2"/>
    </font>
    <font>
      <sz val="8"/>
      <color rgb="FF333333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366092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1" fillId="5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0</xdr:rowOff>
    </xdr:from>
    <xdr:to>
      <xdr:col>16</xdr:col>
      <xdr:colOff>1905000</xdr:colOff>
      <xdr:row>5</xdr:row>
      <xdr:rowOff>22860</xdr:rowOff>
    </xdr:to>
    <xdr:pic>
      <xdr:nvPicPr>
        <xdr:cNvPr id="2" name="Picture 1" descr="COCO">
          <a:extLst>
            <a:ext uri="{FF2B5EF4-FFF2-40B4-BE49-F238E27FC236}">
              <a16:creationId xmlns:a16="http://schemas.microsoft.com/office/drawing/2014/main" id="{4715FFB4-B85B-4A74-A434-A2232B21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36576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zoomScaleNormal="100" workbookViewId="0"/>
  </sheetViews>
  <sheetFormatPr defaultRowHeight="14.4" x14ac:dyDescent="0.3"/>
  <cols>
    <col min="1" max="1" width="14" customWidth="1"/>
    <col min="2" max="2" width="50" customWidth="1"/>
    <col min="3" max="4" width="16" customWidth="1"/>
    <col min="5" max="5" width="14" customWidth="1"/>
    <col min="6" max="7" width="15" customWidth="1"/>
    <col min="8" max="8" width="11" customWidth="1"/>
    <col min="9" max="9" width="20" customWidth="1"/>
    <col min="10" max="10" width="21" customWidth="1"/>
    <col min="1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2</v>
      </c>
      <c r="D2">
        <v>1</v>
      </c>
      <c r="E2">
        <v>0</v>
      </c>
      <c r="F2">
        <v>172</v>
      </c>
      <c r="G2">
        <v>0</v>
      </c>
      <c r="H2">
        <v>0</v>
      </c>
      <c r="I2">
        <v>2</v>
      </c>
      <c r="J2">
        <v>0.70348837209302328</v>
      </c>
      <c r="K2">
        <v>1</v>
      </c>
    </row>
    <row r="3" spans="1:11" x14ac:dyDescent="0.3">
      <c r="A3" t="s">
        <v>13</v>
      </c>
      <c r="B3" t="s">
        <v>14</v>
      </c>
      <c r="C3">
        <v>3</v>
      </c>
      <c r="D3">
        <v>2</v>
      </c>
      <c r="E3">
        <v>0</v>
      </c>
      <c r="F3">
        <v>222</v>
      </c>
      <c r="G3">
        <v>0</v>
      </c>
      <c r="H3">
        <v>1</v>
      </c>
      <c r="I3">
        <v>1.5</v>
      </c>
      <c r="J3">
        <v>0.72972972972972971</v>
      </c>
      <c r="K3">
        <v>0</v>
      </c>
    </row>
    <row r="4" spans="1:11" x14ac:dyDescent="0.3">
      <c r="A4" t="s">
        <v>15</v>
      </c>
      <c r="B4" t="s">
        <v>16</v>
      </c>
      <c r="C4">
        <v>1</v>
      </c>
      <c r="D4">
        <v>0</v>
      </c>
      <c r="E4">
        <v>1</v>
      </c>
      <c r="F4">
        <v>129</v>
      </c>
      <c r="G4">
        <v>0</v>
      </c>
      <c r="H4">
        <v>0</v>
      </c>
      <c r="I4">
        <v>1</v>
      </c>
      <c r="J4">
        <v>0.75193798449612403</v>
      </c>
      <c r="K4">
        <v>0</v>
      </c>
    </row>
    <row r="5" spans="1:11" x14ac:dyDescent="0.3">
      <c r="A5" t="s">
        <v>17</v>
      </c>
      <c r="B5" t="s">
        <v>18</v>
      </c>
      <c r="C5">
        <v>1</v>
      </c>
      <c r="D5">
        <v>0</v>
      </c>
      <c r="E5">
        <v>0</v>
      </c>
      <c r="F5">
        <v>225</v>
      </c>
      <c r="G5">
        <v>0</v>
      </c>
      <c r="H5">
        <v>0</v>
      </c>
      <c r="I5">
        <v>1</v>
      </c>
      <c r="J5">
        <v>0.67555555555555558</v>
      </c>
      <c r="K5">
        <v>0</v>
      </c>
    </row>
    <row r="6" spans="1:11" x14ac:dyDescent="0.3">
      <c r="A6" t="s">
        <v>19</v>
      </c>
      <c r="B6" t="s">
        <v>20</v>
      </c>
      <c r="C6">
        <v>4</v>
      </c>
      <c r="D6">
        <v>1</v>
      </c>
      <c r="E6">
        <v>0</v>
      </c>
      <c r="F6">
        <v>186</v>
      </c>
      <c r="G6">
        <v>0</v>
      </c>
      <c r="H6">
        <v>1</v>
      </c>
      <c r="I6">
        <v>4</v>
      </c>
      <c r="J6">
        <v>0.74193548387096775</v>
      </c>
      <c r="K6">
        <v>1</v>
      </c>
    </row>
    <row r="7" spans="1:11" x14ac:dyDescent="0.3">
      <c r="A7" t="s">
        <v>21</v>
      </c>
      <c r="B7" t="s">
        <v>22</v>
      </c>
      <c r="C7">
        <v>2</v>
      </c>
      <c r="D7">
        <v>1</v>
      </c>
      <c r="E7">
        <v>2</v>
      </c>
      <c r="F7">
        <v>134</v>
      </c>
      <c r="G7">
        <v>0</v>
      </c>
      <c r="H7">
        <v>0</v>
      </c>
      <c r="I7">
        <v>2</v>
      </c>
      <c r="J7">
        <v>0.73880597014925375</v>
      </c>
      <c r="K7">
        <v>0</v>
      </c>
    </row>
    <row r="8" spans="1:11" x14ac:dyDescent="0.3">
      <c r="A8" t="s">
        <v>23</v>
      </c>
      <c r="B8" t="s">
        <v>24</v>
      </c>
      <c r="C8">
        <v>0</v>
      </c>
      <c r="D8">
        <v>3</v>
      </c>
      <c r="E8">
        <v>1</v>
      </c>
      <c r="F8">
        <v>154</v>
      </c>
      <c r="G8">
        <v>0</v>
      </c>
      <c r="H8">
        <v>0</v>
      </c>
      <c r="I8">
        <v>0</v>
      </c>
      <c r="J8">
        <v>0.74675324675324672</v>
      </c>
      <c r="K8">
        <v>0</v>
      </c>
    </row>
    <row r="9" spans="1:11" x14ac:dyDescent="0.3">
      <c r="A9" t="s">
        <v>25</v>
      </c>
      <c r="B9" t="s">
        <v>26</v>
      </c>
      <c r="C9">
        <v>2</v>
      </c>
      <c r="D9">
        <v>0</v>
      </c>
      <c r="E9">
        <v>0</v>
      </c>
      <c r="F9">
        <v>122</v>
      </c>
      <c r="G9">
        <v>0</v>
      </c>
      <c r="H9">
        <v>0</v>
      </c>
      <c r="I9">
        <v>2</v>
      </c>
      <c r="J9">
        <v>0.65573770491803274</v>
      </c>
      <c r="K9">
        <v>0</v>
      </c>
    </row>
    <row r="10" spans="1:11" x14ac:dyDescent="0.3">
      <c r="A10" t="s">
        <v>27</v>
      </c>
      <c r="B10" t="s">
        <v>28</v>
      </c>
      <c r="C10">
        <v>2</v>
      </c>
      <c r="D10">
        <v>4</v>
      </c>
      <c r="E10">
        <v>3</v>
      </c>
      <c r="F10">
        <v>127</v>
      </c>
      <c r="G10">
        <v>0</v>
      </c>
      <c r="H10">
        <v>0</v>
      </c>
      <c r="I10">
        <v>0.5</v>
      </c>
      <c r="J10">
        <v>0.6692913385826772</v>
      </c>
      <c r="K10">
        <v>0</v>
      </c>
    </row>
    <row r="11" spans="1:11" x14ac:dyDescent="0.3">
      <c r="A11" t="s">
        <v>29</v>
      </c>
      <c r="B11" t="s">
        <v>30</v>
      </c>
      <c r="C11">
        <v>0</v>
      </c>
      <c r="D11">
        <v>0</v>
      </c>
      <c r="E11">
        <v>0</v>
      </c>
      <c r="F11">
        <v>59</v>
      </c>
      <c r="G11">
        <v>0</v>
      </c>
      <c r="H11">
        <v>1</v>
      </c>
      <c r="I11">
        <v>0</v>
      </c>
      <c r="J11">
        <v>0.81355932203389836</v>
      </c>
      <c r="K11">
        <v>1</v>
      </c>
    </row>
    <row r="12" spans="1:11" x14ac:dyDescent="0.3">
      <c r="A12" t="s">
        <v>31</v>
      </c>
      <c r="B12" t="s">
        <v>32</v>
      </c>
      <c r="C12">
        <v>2</v>
      </c>
      <c r="D12">
        <v>2</v>
      </c>
      <c r="E12">
        <v>0</v>
      </c>
      <c r="F12">
        <v>313</v>
      </c>
      <c r="G12">
        <v>0</v>
      </c>
      <c r="H12">
        <v>0</v>
      </c>
      <c r="I12">
        <v>1</v>
      </c>
      <c r="J12">
        <v>0.65495207667731625</v>
      </c>
      <c r="K12">
        <v>1</v>
      </c>
    </row>
    <row r="13" spans="1:11" x14ac:dyDescent="0.3">
      <c r="A13" t="s">
        <v>33</v>
      </c>
      <c r="B13" t="s">
        <v>34</v>
      </c>
      <c r="C13">
        <v>2</v>
      </c>
      <c r="D13">
        <v>0</v>
      </c>
      <c r="E13">
        <v>0</v>
      </c>
      <c r="F13">
        <v>98</v>
      </c>
      <c r="G13">
        <v>0</v>
      </c>
      <c r="H13">
        <v>0</v>
      </c>
      <c r="I13">
        <v>2</v>
      </c>
      <c r="J13">
        <v>0.76530612244897955</v>
      </c>
      <c r="K13">
        <v>1</v>
      </c>
    </row>
    <row r="14" spans="1:11" x14ac:dyDescent="0.3">
      <c r="A14" t="s">
        <v>35</v>
      </c>
      <c r="B14" t="s">
        <v>36</v>
      </c>
      <c r="C14">
        <v>0</v>
      </c>
      <c r="D14">
        <v>1</v>
      </c>
      <c r="E14">
        <v>0</v>
      </c>
      <c r="F14">
        <v>133</v>
      </c>
      <c r="G14">
        <v>0</v>
      </c>
      <c r="H14">
        <v>3</v>
      </c>
      <c r="I14">
        <v>0</v>
      </c>
      <c r="J14">
        <v>0.72180451127819545</v>
      </c>
      <c r="K14">
        <v>0</v>
      </c>
    </row>
    <row r="15" spans="1:11" x14ac:dyDescent="0.3">
      <c r="A15" t="s">
        <v>37</v>
      </c>
      <c r="B15" t="s">
        <v>38</v>
      </c>
      <c r="C15">
        <v>0</v>
      </c>
      <c r="D15">
        <v>0</v>
      </c>
      <c r="E15">
        <v>3</v>
      </c>
      <c r="F15">
        <v>261</v>
      </c>
      <c r="G15">
        <v>0</v>
      </c>
      <c r="H15">
        <v>1</v>
      </c>
      <c r="I15">
        <v>0</v>
      </c>
      <c r="J15">
        <v>0.73563218390804597</v>
      </c>
      <c r="K15">
        <v>1</v>
      </c>
    </row>
    <row r="16" spans="1:11" x14ac:dyDescent="0.3">
      <c r="A16" t="s">
        <v>39</v>
      </c>
      <c r="B16" t="s">
        <v>40</v>
      </c>
      <c r="C16">
        <v>1</v>
      </c>
      <c r="D16">
        <v>0</v>
      </c>
      <c r="E16">
        <v>0</v>
      </c>
      <c r="F16">
        <v>132</v>
      </c>
      <c r="G16">
        <v>0</v>
      </c>
      <c r="H16">
        <v>0</v>
      </c>
      <c r="I16">
        <v>1</v>
      </c>
      <c r="J16">
        <v>0.71212121212121215</v>
      </c>
      <c r="K16">
        <v>1</v>
      </c>
    </row>
    <row r="17" spans="1:11" x14ac:dyDescent="0.3">
      <c r="A17" t="s">
        <v>41</v>
      </c>
      <c r="B17" t="s">
        <v>42</v>
      </c>
      <c r="C17">
        <v>3</v>
      </c>
      <c r="D17">
        <v>0</v>
      </c>
      <c r="E17">
        <v>2</v>
      </c>
      <c r="F17">
        <v>123</v>
      </c>
      <c r="G17">
        <v>0</v>
      </c>
      <c r="H17">
        <v>0</v>
      </c>
      <c r="I17">
        <v>3</v>
      </c>
      <c r="J17">
        <v>0.80487804878048785</v>
      </c>
      <c r="K17">
        <v>1</v>
      </c>
    </row>
    <row r="18" spans="1:11" x14ac:dyDescent="0.3">
      <c r="A18" t="s">
        <v>43</v>
      </c>
      <c r="B18" t="s">
        <v>44</v>
      </c>
      <c r="C18">
        <v>0</v>
      </c>
      <c r="D18">
        <v>3</v>
      </c>
      <c r="E18">
        <v>0</v>
      </c>
      <c r="F18">
        <v>266</v>
      </c>
      <c r="G18">
        <v>0</v>
      </c>
      <c r="H18">
        <v>4</v>
      </c>
      <c r="I18">
        <v>0</v>
      </c>
      <c r="J18">
        <v>0.60526315789473684</v>
      </c>
      <c r="K18">
        <v>0</v>
      </c>
    </row>
    <row r="19" spans="1:11" x14ac:dyDescent="0.3">
      <c r="A19" t="s">
        <v>45</v>
      </c>
      <c r="B19" t="s">
        <v>46</v>
      </c>
      <c r="C19">
        <v>0</v>
      </c>
      <c r="D19">
        <v>0</v>
      </c>
      <c r="E19">
        <v>0</v>
      </c>
      <c r="F19">
        <v>78</v>
      </c>
      <c r="G19">
        <v>0</v>
      </c>
      <c r="H19">
        <v>0</v>
      </c>
      <c r="I19">
        <v>0</v>
      </c>
      <c r="J19">
        <v>0.82051282051282048</v>
      </c>
      <c r="K19">
        <v>0</v>
      </c>
    </row>
    <row r="20" spans="1:11" x14ac:dyDescent="0.3">
      <c r="A20" t="s">
        <v>47</v>
      </c>
      <c r="B20" t="s">
        <v>48</v>
      </c>
      <c r="C20">
        <v>1</v>
      </c>
      <c r="D20">
        <v>2</v>
      </c>
      <c r="E20">
        <v>0</v>
      </c>
      <c r="F20">
        <v>143</v>
      </c>
      <c r="G20">
        <v>0</v>
      </c>
      <c r="H20">
        <v>0</v>
      </c>
      <c r="I20">
        <v>0.5</v>
      </c>
      <c r="J20">
        <v>0.76223776223776218</v>
      </c>
      <c r="K20">
        <v>0</v>
      </c>
    </row>
    <row r="21" spans="1:11" x14ac:dyDescent="0.3">
      <c r="A21" t="s">
        <v>49</v>
      </c>
      <c r="B21" t="s">
        <v>50</v>
      </c>
      <c r="C21">
        <v>1</v>
      </c>
      <c r="D21">
        <v>1</v>
      </c>
      <c r="E21">
        <v>1</v>
      </c>
      <c r="F21">
        <v>81</v>
      </c>
      <c r="G21">
        <v>0</v>
      </c>
      <c r="H21">
        <v>1</v>
      </c>
      <c r="I21">
        <v>1</v>
      </c>
      <c r="J21">
        <v>0.79012345679012341</v>
      </c>
      <c r="K21">
        <v>1</v>
      </c>
    </row>
    <row r="22" spans="1:11" x14ac:dyDescent="0.3">
      <c r="A22" t="s">
        <v>51</v>
      </c>
      <c r="B22" t="s">
        <v>52</v>
      </c>
      <c r="C22">
        <v>0</v>
      </c>
      <c r="D22">
        <v>0</v>
      </c>
      <c r="E22">
        <v>0</v>
      </c>
      <c r="F22">
        <v>58</v>
      </c>
      <c r="G22">
        <v>0</v>
      </c>
      <c r="H22">
        <v>0</v>
      </c>
      <c r="I22">
        <v>0</v>
      </c>
      <c r="J22">
        <v>0.86206896551724133</v>
      </c>
      <c r="K22">
        <v>1</v>
      </c>
    </row>
    <row r="23" spans="1:11" x14ac:dyDescent="0.3">
      <c r="A23" t="s">
        <v>53</v>
      </c>
      <c r="B23" t="s">
        <v>54</v>
      </c>
      <c r="C23">
        <v>2</v>
      </c>
      <c r="D23">
        <v>0</v>
      </c>
      <c r="E23">
        <v>0</v>
      </c>
      <c r="F23">
        <v>89</v>
      </c>
      <c r="G23">
        <v>0</v>
      </c>
      <c r="H23">
        <v>1</v>
      </c>
      <c r="I23">
        <v>2</v>
      </c>
      <c r="J23">
        <v>0.7303370786516854</v>
      </c>
      <c r="K23">
        <v>1</v>
      </c>
    </row>
    <row r="24" spans="1:11" x14ac:dyDescent="0.3">
      <c r="A24" t="s">
        <v>55</v>
      </c>
      <c r="B24" t="s">
        <v>56</v>
      </c>
      <c r="C24">
        <v>3</v>
      </c>
      <c r="D24">
        <v>0</v>
      </c>
      <c r="E24">
        <v>0</v>
      </c>
      <c r="F24">
        <v>476</v>
      </c>
      <c r="G24">
        <v>0</v>
      </c>
      <c r="H24">
        <v>0</v>
      </c>
      <c r="I24">
        <v>3</v>
      </c>
      <c r="J24">
        <v>0.51260504201680668</v>
      </c>
      <c r="K24">
        <v>1</v>
      </c>
    </row>
    <row r="25" spans="1:11" x14ac:dyDescent="0.3">
      <c r="A25" t="s">
        <v>57</v>
      </c>
      <c r="B25" t="s">
        <v>58</v>
      </c>
      <c r="C25">
        <v>3</v>
      </c>
      <c r="D25">
        <v>0</v>
      </c>
      <c r="E25">
        <v>2</v>
      </c>
      <c r="F25">
        <v>564</v>
      </c>
      <c r="G25">
        <v>0</v>
      </c>
      <c r="H25">
        <v>2</v>
      </c>
      <c r="I25">
        <v>3</v>
      </c>
      <c r="J25">
        <v>0.54609929078014185</v>
      </c>
      <c r="K25">
        <v>0</v>
      </c>
    </row>
    <row r="26" spans="1:11" x14ac:dyDescent="0.3">
      <c r="A26" t="s">
        <v>59</v>
      </c>
      <c r="B26" t="s">
        <v>60</v>
      </c>
      <c r="C26">
        <v>0</v>
      </c>
      <c r="D26">
        <v>1</v>
      </c>
      <c r="E26">
        <v>0</v>
      </c>
      <c r="F26">
        <v>144</v>
      </c>
      <c r="G26">
        <v>0</v>
      </c>
      <c r="H26">
        <v>0</v>
      </c>
      <c r="I26">
        <v>0</v>
      </c>
      <c r="J26">
        <v>0.66666666666666663</v>
      </c>
      <c r="K26">
        <v>0</v>
      </c>
    </row>
    <row r="27" spans="1:11" x14ac:dyDescent="0.3">
      <c r="A27" t="s">
        <v>61</v>
      </c>
      <c r="B27" t="s">
        <v>62</v>
      </c>
      <c r="C27">
        <v>2</v>
      </c>
      <c r="D27">
        <v>0</v>
      </c>
      <c r="E27">
        <v>0</v>
      </c>
      <c r="F27">
        <v>67</v>
      </c>
      <c r="G27">
        <v>0</v>
      </c>
      <c r="H27">
        <v>0</v>
      </c>
      <c r="I27">
        <v>2</v>
      </c>
      <c r="J27">
        <v>0.79104477611940294</v>
      </c>
      <c r="K27">
        <v>1</v>
      </c>
    </row>
    <row r="28" spans="1:11" x14ac:dyDescent="0.3">
      <c r="A28" t="s">
        <v>63</v>
      </c>
      <c r="B28" t="s">
        <v>64</v>
      </c>
      <c r="C28">
        <v>0</v>
      </c>
      <c r="D28">
        <v>1</v>
      </c>
      <c r="E28">
        <v>2</v>
      </c>
      <c r="F28">
        <v>136</v>
      </c>
      <c r="G28">
        <v>0</v>
      </c>
      <c r="H28">
        <v>1</v>
      </c>
      <c r="I28">
        <v>0</v>
      </c>
      <c r="J28">
        <v>0.80147058823529416</v>
      </c>
      <c r="K28">
        <v>0</v>
      </c>
    </row>
    <row r="29" spans="1:11" x14ac:dyDescent="0.3">
      <c r="A29" t="s">
        <v>65</v>
      </c>
      <c r="B29" t="s">
        <v>66</v>
      </c>
      <c r="C29">
        <v>1</v>
      </c>
      <c r="D29">
        <v>1</v>
      </c>
      <c r="E29">
        <v>0</v>
      </c>
      <c r="F29">
        <v>125</v>
      </c>
      <c r="G29">
        <v>0</v>
      </c>
      <c r="H29">
        <v>1</v>
      </c>
      <c r="I29">
        <v>1</v>
      </c>
      <c r="J29">
        <v>0.69599999999999995</v>
      </c>
      <c r="K29">
        <v>0</v>
      </c>
    </row>
    <row r="30" spans="1:11" x14ac:dyDescent="0.3">
      <c r="A30" t="s">
        <v>67</v>
      </c>
      <c r="B30" t="s">
        <v>68</v>
      </c>
      <c r="C30">
        <v>0</v>
      </c>
      <c r="D30">
        <v>0</v>
      </c>
      <c r="E30">
        <v>0</v>
      </c>
      <c r="F30">
        <v>53</v>
      </c>
      <c r="G30">
        <v>0</v>
      </c>
      <c r="H30">
        <v>0</v>
      </c>
      <c r="I30">
        <v>0</v>
      </c>
      <c r="J30">
        <v>0.86792452830188682</v>
      </c>
      <c r="K30">
        <v>0</v>
      </c>
    </row>
    <row r="31" spans="1:11" x14ac:dyDescent="0.3">
      <c r="A31" t="s">
        <v>69</v>
      </c>
      <c r="B31" t="s">
        <v>70</v>
      </c>
      <c r="C31">
        <v>2</v>
      </c>
      <c r="D31">
        <v>1</v>
      </c>
      <c r="E31">
        <v>0</v>
      </c>
      <c r="F31">
        <v>137</v>
      </c>
      <c r="G31">
        <v>0</v>
      </c>
      <c r="H31">
        <v>0</v>
      </c>
      <c r="I31">
        <v>2</v>
      </c>
      <c r="J31">
        <v>0.73722627737226276</v>
      </c>
      <c r="K31">
        <v>1</v>
      </c>
    </row>
    <row r="32" spans="1:11" x14ac:dyDescent="0.3">
      <c r="A32" t="s">
        <v>71</v>
      </c>
      <c r="B32" t="s">
        <v>72</v>
      </c>
      <c r="C32">
        <v>1</v>
      </c>
      <c r="D32">
        <v>1</v>
      </c>
      <c r="E32">
        <v>0</v>
      </c>
      <c r="F32">
        <v>168</v>
      </c>
      <c r="G32">
        <v>0</v>
      </c>
      <c r="H32">
        <v>0</v>
      </c>
      <c r="I32">
        <v>1</v>
      </c>
      <c r="J32">
        <v>0.70238095238095233</v>
      </c>
      <c r="K32">
        <v>0</v>
      </c>
    </row>
    <row r="33" spans="1:11" x14ac:dyDescent="0.3">
      <c r="A33" t="s">
        <v>73</v>
      </c>
      <c r="B33" t="s">
        <v>74</v>
      </c>
      <c r="C33">
        <v>1</v>
      </c>
      <c r="D33">
        <v>0</v>
      </c>
      <c r="E33">
        <v>0</v>
      </c>
      <c r="F33">
        <v>287</v>
      </c>
      <c r="G33">
        <v>0</v>
      </c>
      <c r="H33">
        <v>0</v>
      </c>
      <c r="I33">
        <v>1</v>
      </c>
      <c r="J33">
        <v>0.62717770034843201</v>
      </c>
      <c r="K33">
        <v>1</v>
      </c>
    </row>
    <row r="34" spans="1:11" x14ac:dyDescent="0.3">
      <c r="A34" t="s">
        <v>75</v>
      </c>
      <c r="B34" t="s">
        <v>76</v>
      </c>
      <c r="C34">
        <v>0</v>
      </c>
      <c r="D34">
        <v>3</v>
      </c>
      <c r="E34">
        <v>0</v>
      </c>
      <c r="F34">
        <v>276</v>
      </c>
      <c r="G34">
        <v>0</v>
      </c>
      <c r="H34">
        <v>1</v>
      </c>
      <c r="I34">
        <v>0</v>
      </c>
      <c r="J34">
        <v>0.66304347826086951</v>
      </c>
      <c r="K34">
        <v>0</v>
      </c>
    </row>
    <row r="35" spans="1:11" x14ac:dyDescent="0.3">
      <c r="A35" t="s">
        <v>77</v>
      </c>
      <c r="B35" t="s">
        <v>78</v>
      </c>
      <c r="C35">
        <v>4</v>
      </c>
      <c r="D35">
        <v>0</v>
      </c>
      <c r="E35">
        <v>1</v>
      </c>
      <c r="F35">
        <v>115</v>
      </c>
      <c r="G35">
        <v>0</v>
      </c>
      <c r="H35">
        <v>2</v>
      </c>
      <c r="I35">
        <v>4</v>
      </c>
      <c r="J35">
        <v>0.73043478260869565</v>
      </c>
      <c r="K35">
        <v>1</v>
      </c>
    </row>
    <row r="36" spans="1:11" x14ac:dyDescent="0.3">
      <c r="A36" t="s">
        <v>79</v>
      </c>
      <c r="B36" t="s">
        <v>80</v>
      </c>
      <c r="C36">
        <v>0</v>
      </c>
      <c r="D36">
        <v>1</v>
      </c>
      <c r="E36">
        <v>0</v>
      </c>
      <c r="F36">
        <v>243</v>
      </c>
      <c r="G36">
        <v>0</v>
      </c>
      <c r="H36">
        <v>0</v>
      </c>
      <c r="I36">
        <v>0</v>
      </c>
      <c r="J36">
        <v>0.70370370370370372</v>
      </c>
      <c r="K36">
        <v>1</v>
      </c>
    </row>
    <row r="37" spans="1:11" x14ac:dyDescent="0.3">
      <c r="A37" t="s">
        <v>81</v>
      </c>
      <c r="B37" t="s">
        <v>82</v>
      </c>
      <c r="C37">
        <v>4</v>
      </c>
      <c r="D37">
        <v>1</v>
      </c>
      <c r="E37">
        <v>1</v>
      </c>
      <c r="F37">
        <v>619</v>
      </c>
      <c r="G37">
        <v>0</v>
      </c>
      <c r="H37">
        <v>0</v>
      </c>
      <c r="I37">
        <v>4</v>
      </c>
      <c r="J37">
        <v>0.4878836833602585</v>
      </c>
      <c r="K37">
        <v>1</v>
      </c>
    </row>
    <row r="38" spans="1:11" x14ac:dyDescent="0.3">
      <c r="A38" t="s">
        <v>83</v>
      </c>
      <c r="B38" t="s">
        <v>84</v>
      </c>
      <c r="C38">
        <v>3</v>
      </c>
      <c r="D38">
        <v>5</v>
      </c>
      <c r="E38">
        <v>1</v>
      </c>
      <c r="F38">
        <v>593</v>
      </c>
      <c r="G38">
        <v>0</v>
      </c>
      <c r="H38">
        <v>3</v>
      </c>
      <c r="I38">
        <v>0.6</v>
      </c>
      <c r="J38">
        <v>0.58516020236087685</v>
      </c>
      <c r="K38">
        <v>0</v>
      </c>
    </row>
    <row r="39" spans="1:11" x14ac:dyDescent="0.3">
      <c r="A39" t="s">
        <v>85</v>
      </c>
      <c r="B39" t="s">
        <v>86</v>
      </c>
      <c r="C39">
        <v>0</v>
      </c>
      <c r="D39">
        <v>0</v>
      </c>
      <c r="E39">
        <v>0</v>
      </c>
      <c r="F39">
        <v>41</v>
      </c>
      <c r="G39">
        <v>0</v>
      </c>
      <c r="H39">
        <v>0</v>
      </c>
      <c r="I39">
        <v>0</v>
      </c>
      <c r="J39">
        <v>0.95121951219512191</v>
      </c>
      <c r="K39">
        <v>0</v>
      </c>
    </row>
    <row r="40" spans="1:11" x14ac:dyDescent="0.3">
      <c r="A40" t="s">
        <v>87</v>
      </c>
      <c r="B40" t="s">
        <v>88</v>
      </c>
      <c r="C40">
        <v>2</v>
      </c>
      <c r="D40">
        <v>0</v>
      </c>
      <c r="E40">
        <v>0</v>
      </c>
      <c r="F40">
        <v>156</v>
      </c>
      <c r="G40">
        <v>0</v>
      </c>
      <c r="H40">
        <v>0</v>
      </c>
      <c r="I40">
        <v>2</v>
      </c>
      <c r="J40">
        <v>0.70512820512820518</v>
      </c>
      <c r="K40">
        <v>1</v>
      </c>
    </row>
    <row r="41" spans="1:11" x14ac:dyDescent="0.3">
      <c r="A41" t="s">
        <v>89</v>
      </c>
      <c r="B41" t="s">
        <v>90</v>
      </c>
      <c r="C41">
        <v>1</v>
      </c>
      <c r="D41">
        <v>2</v>
      </c>
      <c r="E41">
        <v>0</v>
      </c>
      <c r="F41">
        <v>537</v>
      </c>
      <c r="G41">
        <v>0</v>
      </c>
      <c r="H41">
        <v>5</v>
      </c>
      <c r="I41">
        <v>0.5</v>
      </c>
      <c r="J41">
        <v>0.56238361266294223</v>
      </c>
      <c r="K41">
        <v>0</v>
      </c>
    </row>
    <row r="42" spans="1:11" x14ac:dyDescent="0.3">
      <c r="A42" t="s">
        <v>91</v>
      </c>
      <c r="B42" t="s">
        <v>92</v>
      </c>
      <c r="C42">
        <v>0</v>
      </c>
      <c r="D42">
        <v>2</v>
      </c>
      <c r="E42">
        <v>0</v>
      </c>
      <c r="F42">
        <v>808</v>
      </c>
      <c r="G42">
        <v>0</v>
      </c>
      <c r="H42">
        <v>8</v>
      </c>
      <c r="I42">
        <v>0</v>
      </c>
      <c r="J42">
        <v>0.52846534653465349</v>
      </c>
      <c r="K42">
        <v>1</v>
      </c>
    </row>
    <row r="43" spans="1:11" x14ac:dyDescent="0.3">
      <c r="A43" t="s">
        <v>93</v>
      </c>
      <c r="B43" t="s">
        <v>94</v>
      </c>
      <c r="C43">
        <v>1</v>
      </c>
      <c r="D43">
        <v>0</v>
      </c>
      <c r="E43">
        <v>1</v>
      </c>
      <c r="F43">
        <v>135</v>
      </c>
      <c r="G43">
        <v>0</v>
      </c>
      <c r="H43">
        <v>0</v>
      </c>
      <c r="I43">
        <v>1</v>
      </c>
      <c r="J43">
        <v>0.66666666666666663</v>
      </c>
      <c r="K43">
        <v>1</v>
      </c>
    </row>
    <row r="44" spans="1:11" x14ac:dyDescent="0.3">
      <c r="A44" t="s">
        <v>95</v>
      </c>
      <c r="B44" t="s">
        <v>96</v>
      </c>
      <c r="C44">
        <v>3</v>
      </c>
      <c r="D44">
        <v>0</v>
      </c>
      <c r="E44">
        <v>0</v>
      </c>
      <c r="F44">
        <v>177</v>
      </c>
      <c r="G44">
        <v>0</v>
      </c>
      <c r="H44">
        <v>0</v>
      </c>
      <c r="I44">
        <v>3</v>
      </c>
      <c r="J44">
        <v>0.74011299435028244</v>
      </c>
      <c r="K44">
        <v>1</v>
      </c>
    </row>
    <row r="45" spans="1:11" x14ac:dyDescent="0.3">
      <c r="A45" t="s">
        <v>97</v>
      </c>
      <c r="B45" t="s">
        <v>98</v>
      </c>
      <c r="C45">
        <v>0</v>
      </c>
      <c r="D45">
        <v>2</v>
      </c>
      <c r="E45">
        <v>0</v>
      </c>
      <c r="F45">
        <v>132</v>
      </c>
      <c r="G45">
        <v>0</v>
      </c>
      <c r="H45">
        <v>1</v>
      </c>
      <c r="I45">
        <v>0</v>
      </c>
      <c r="J45">
        <v>0.68939393939393945</v>
      </c>
      <c r="K45">
        <v>0</v>
      </c>
    </row>
    <row r="46" spans="1:11" x14ac:dyDescent="0.3">
      <c r="A46" t="s">
        <v>99</v>
      </c>
      <c r="B46" t="s">
        <v>100</v>
      </c>
      <c r="C46">
        <v>2</v>
      </c>
      <c r="D46">
        <v>1</v>
      </c>
      <c r="E46">
        <v>0</v>
      </c>
      <c r="F46">
        <v>396</v>
      </c>
      <c r="G46">
        <v>0</v>
      </c>
      <c r="H46">
        <v>0</v>
      </c>
      <c r="I46">
        <v>2</v>
      </c>
      <c r="J46">
        <v>0.61616161616161613</v>
      </c>
      <c r="K46">
        <v>1</v>
      </c>
    </row>
    <row r="47" spans="1:11" x14ac:dyDescent="0.3">
      <c r="A47" t="s">
        <v>101</v>
      </c>
      <c r="B47" t="s">
        <v>102</v>
      </c>
      <c r="C47">
        <v>2</v>
      </c>
      <c r="D47">
        <v>0</v>
      </c>
      <c r="E47">
        <v>0</v>
      </c>
      <c r="F47">
        <v>281</v>
      </c>
      <c r="G47">
        <v>0</v>
      </c>
      <c r="H47">
        <v>0</v>
      </c>
      <c r="I47">
        <v>2</v>
      </c>
      <c r="J47">
        <v>0.57295373665480431</v>
      </c>
      <c r="K47">
        <v>1</v>
      </c>
    </row>
    <row r="48" spans="1:11" x14ac:dyDescent="0.3">
      <c r="A48" t="s">
        <v>103</v>
      </c>
      <c r="B48" t="s">
        <v>104</v>
      </c>
      <c r="C48">
        <v>2</v>
      </c>
      <c r="D48">
        <v>3</v>
      </c>
      <c r="E48">
        <v>2</v>
      </c>
      <c r="F48">
        <v>163</v>
      </c>
      <c r="G48">
        <v>0</v>
      </c>
      <c r="H48">
        <v>2</v>
      </c>
      <c r="I48">
        <v>0.66666666666666663</v>
      </c>
      <c r="J48">
        <v>0.66257668711656437</v>
      </c>
      <c r="K48">
        <v>0</v>
      </c>
    </row>
    <row r="49" spans="1:11" x14ac:dyDescent="0.3">
      <c r="A49" t="s">
        <v>105</v>
      </c>
      <c r="B49" t="s">
        <v>106</v>
      </c>
      <c r="C49">
        <v>2</v>
      </c>
      <c r="D49">
        <v>0</v>
      </c>
      <c r="E49">
        <v>1</v>
      </c>
      <c r="F49">
        <v>501</v>
      </c>
      <c r="G49">
        <v>0</v>
      </c>
      <c r="H49">
        <v>2</v>
      </c>
      <c r="I49">
        <v>2</v>
      </c>
      <c r="J49">
        <v>0.47904191616766473</v>
      </c>
      <c r="K49">
        <v>1</v>
      </c>
    </row>
    <row r="50" spans="1:11" x14ac:dyDescent="0.3">
      <c r="A50" t="s">
        <v>107</v>
      </c>
      <c r="B50" t="s">
        <v>108</v>
      </c>
      <c r="C50">
        <v>4</v>
      </c>
      <c r="D50">
        <v>2</v>
      </c>
      <c r="E50">
        <v>0</v>
      </c>
      <c r="F50">
        <v>799</v>
      </c>
      <c r="G50">
        <v>0</v>
      </c>
      <c r="H50">
        <v>3</v>
      </c>
      <c r="I50">
        <v>2</v>
      </c>
      <c r="J50">
        <v>0.60826032540675845</v>
      </c>
      <c r="K50">
        <v>0</v>
      </c>
    </row>
    <row r="51" spans="1:11" x14ac:dyDescent="0.3">
      <c r="A51" t="s">
        <v>109</v>
      </c>
      <c r="B51" t="s">
        <v>110</v>
      </c>
      <c r="C51">
        <v>0</v>
      </c>
      <c r="D51">
        <v>2</v>
      </c>
      <c r="E51">
        <v>0</v>
      </c>
      <c r="F51">
        <v>929</v>
      </c>
      <c r="G51">
        <v>0</v>
      </c>
      <c r="H51">
        <v>1</v>
      </c>
      <c r="I51">
        <v>0</v>
      </c>
      <c r="J51">
        <v>0.46071044133476857</v>
      </c>
      <c r="K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4"/>
  <sheetViews>
    <sheetView zoomScale="89" workbookViewId="0">
      <selection activeCell="X158" sqref="X158"/>
    </sheetView>
  </sheetViews>
  <sheetFormatPr defaultRowHeight="14.4" x14ac:dyDescent="0.3"/>
  <cols>
    <col min="1" max="3" width="16" customWidth="1"/>
    <col min="4" max="5" width="15" customWidth="1"/>
    <col min="6" max="6" width="13" customWidth="1"/>
    <col min="7" max="7" width="14" customWidth="1"/>
    <col min="8" max="8" width="15" customWidth="1"/>
    <col min="9" max="9" width="16" customWidth="1"/>
    <col min="10" max="10" width="17" customWidth="1"/>
    <col min="14" max="14" width="14.21875" bestFit="1" customWidth="1"/>
    <col min="15" max="15" width="24.44140625" bestFit="1" customWidth="1"/>
    <col min="16" max="16" width="8.6640625" bestFit="1" customWidth="1"/>
    <col min="17" max="17" width="36.33203125" bestFit="1" customWidth="1"/>
  </cols>
  <sheetData>
    <row r="1" spans="1:28" x14ac:dyDescent="0.3">
      <c r="A1" s="2" t="s">
        <v>111</v>
      </c>
      <c r="B1" s="2" t="s">
        <v>112</v>
      </c>
      <c r="C1" s="2" t="s">
        <v>112</v>
      </c>
      <c r="D1" s="2" t="s">
        <v>112</v>
      </c>
      <c r="E1" s="2" t="s">
        <v>112</v>
      </c>
      <c r="F1" s="2" t="s">
        <v>112</v>
      </c>
      <c r="G1" s="2" t="s">
        <v>112</v>
      </c>
      <c r="H1" s="2" t="s">
        <v>112</v>
      </c>
      <c r="I1" s="2" t="s">
        <v>112</v>
      </c>
      <c r="J1" s="2" t="s">
        <v>113</v>
      </c>
    </row>
    <row r="2" spans="1:28" x14ac:dyDescent="0.3">
      <c r="A2" s="3" t="s">
        <v>114</v>
      </c>
      <c r="B2" s="3">
        <f>IF(B3&gt;0,0,1)</f>
        <v>0</v>
      </c>
      <c r="C2" s="3">
        <f t="shared" ref="C2:J2" si="0">IF(C3&gt;0,0,1)</f>
        <v>0</v>
      </c>
      <c r="D2" s="3" t="e">
        <f t="shared" si="0"/>
        <v>#DIV/0!</v>
      </c>
      <c r="E2" s="3">
        <f t="shared" si="0"/>
        <v>0</v>
      </c>
      <c r="F2" s="3">
        <f t="shared" si="0"/>
        <v>0</v>
      </c>
      <c r="G2" s="3">
        <f t="shared" si="0"/>
        <v>0</v>
      </c>
      <c r="H2" s="3">
        <f t="shared" si="0"/>
        <v>1</v>
      </c>
      <c r="I2" s="3">
        <f t="shared" si="0"/>
        <v>1</v>
      </c>
      <c r="J2" s="3">
        <f t="shared" si="0"/>
        <v>1</v>
      </c>
    </row>
    <row r="3" spans="1:28" ht="18" x14ac:dyDescent="0.3">
      <c r="A3" s="3" t="s">
        <v>115</v>
      </c>
      <c r="B3" s="3">
        <f>CORREL(B6:B55,J6:J55)</f>
        <v>0.46666666666666667</v>
      </c>
      <c r="C3" s="3">
        <f>CORREL(C6:C55, J6:J55)</f>
        <v>0.28403748139401147</v>
      </c>
      <c r="D3" s="3" t="e">
        <f>CORREL(D6:D55, J6:J55)</f>
        <v>#DIV/0!</v>
      </c>
      <c r="E3" s="3">
        <f>CORREL(E6:E55, J6:J55)</f>
        <v>0.45597477606514275</v>
      </c>
      <c r="F3" s="3">
        <f>CORREL(F6:F55, J6:J55)</f>
        <v>0.18960431934778588</v>
      </c>
      <c r="G3" s="3">
        <f>CORREL(G6:G55, J6:J55)</f>
        <v>9.6336610171817619E-2</v>
      </c>
      <c r="H3" s="3">
        <f>CORREL(H6:H55, J6:J55)</f>
        <v>-9.9597443884322859E-3</v>
      </c>
      <c r="I3" s="3">
        <f>CORREL(I6:I55, J6:J55)</f>
        <v>-4.4177611401986332E-2</v>
      </c>
      <c r="J3" s="3">
        <f>CORREL(Y6:Y55, J6:J55)</f>
        <v>-0.10037060522250896</v>
      </c>
      <c r="Q3" s="6"/>
    </row>
    <row r="4" spans="1:28" x14ac:dyDescent="0.3">
      <c r="A4" s="3" t="s">
        <v>116</v>
      </c>
      <c r="B4" s="3" t="s">
        <v>117</v>
      </c>
      <c r="C4" s="3" t="s">
        <v>117</v>
      </c>
      <c r="D4" s="3" t="s">
        <v>117</v>
      </c>
      <c r="E4" s="3" t="s">
        <v>117</v>
      </c>
      <c r="F4" s="3" t="s">
        <v>117</v>
      </c>
      <c r="G4" s="3" t="s">
        <v>117</v>
      </c>
      <c r="H4" s="3" t="s">
        <v>117</v>
      </c>
      <c r="I4" s="3" t="s">
        <v>117</v>
      </c>
      <c r="J4" s="3" t="s">
        <v>118</v>
      </c>
      <c r="Q4" s="7"/>
    </row>
    <row r="5" spans="1:28" x14ac:dyDescent="0.3">
      <c r="A5" s="3" t="s">
        <v>119</v>
      </c>
      <c r="B5" s="3" t="s">
        <v>3</v>
      </c>
      <c r="C5" s="3" t="s">
        <v>2</v>
      </c>
      <c r="D5" s="3" t="s">
        <v>6</v>
      </c>
      <c r="E5" s="3" t="s">
        <v>8</v>
      </c>
      <c r="F5" s="3" t="s">
        <v>7</v>
      </c>
      <c r="G5" s="3" t="s">
        <v>4</v>
      </c>
      <c r="H5" s="3" t="s">
        <v>5</v>
      </c>
      <c r="I5" s="3" t="s">
        <v>9</v>
      </c>
      <c r="J5" s="3" t="s">
        <v>120</v>
      </c>
    </row>
    <row r="6" spans="1:28" x14ac:dyDescent="0.3">
      <c r="A6" t="s">
        <v>11</v>
      </c>
      <c r="B6">
        <v>5</v>
      </c>
      <c r="C6">
        <v>3</v>
      </c>
      <c r="D6">
        <v>1</v>
      </c>
      <c r="E6">
        <v>7</v>
      </c>
      <c r="F6">
        <v>7</v>
      </c>
      <c r="G6">
        <v>4</v>
      </c>
      <c r="H6">
        <v>22</v>
      </c>
      <c r="I6">
        <v>26</v>
      </c>
      <c r="J6">
        <v>1000</v>
      </c>
    </row>
    <row r="7" spans="1:28" ht="18" x14ac:dyDescent="0.3">
      <c r="A7" t="s">
        <v>13</v>
      </c>
      <c r="B7">
        <v>4</v>
      </c>
      <c r="C7">
        <v>4</v>
      </c>
      <c r="D7">
        <v>1</v>
      </c>
      <c r="E7">
        <v>6</v>
      </c>
      <c r="F7">
        <v>6</v>
      </c>
      <c r="G7">
        <v>4</v>
      </c>
      <c r="H7">
        <v>19</v>
      </c>
      <c r="I7">
        <v>21</v>
      </c>
      <c r="J7">
        <v>0</v>
      </c>
      <c r="Q7" s="8" t="s">
        <v>169</v>
      </c>
      <c r="R7" s="9">
        <v>9657321</v>
      </c>
      <c r="S7" s="8" t="s">
        <v>170</v>
      </c>
      <c r="T7" s="9">
        <v>50</v>
      </c>
      <c r="U7" s="8" t="s">
        <v>171</v>
      </c>
      <c r="V7" s="9">
        <v>8</v>
      </c>
      <c r="W7" s="8" t="s">
        <v>172</v>
      </c>
      <c r="X7" s="9">
        <v>50</v>
      </c>
      <c r="Y7" s="8" t="s">
        <v>173</v>
      </c>
      <c r="Z7" s="9">
        <v>0</v>
      </c>
      <c r="AA7" s="8" t="s">
        <v>174</v>
      </c>
      <c r="AB7" s="9" t="s">
        <v>175</v>
      </c>
    </row>
    <row r="8" spans="1:28" ht="18.600000000000001" thickBot="1" x14ac:dyDescent="0.35">
      <c r="A8" t="s">
        <v>15</v>
      </c>
      <c r="B8">
        <v>6</v>
      </c>
      <c r="C8">
        <v>2</v>
      </c>
      <c r="D8">
        <v>1</v>
      </c>
      <c r="E8">
        <v>5</v>
      </c>
      <c r="F8">
        <v>7</v>
      </c>
      <c r="G8">
        <v>3</v>
      </c>
      <c r="H8">
        <v>35</v>
      </c>
      <c r="I8">
        <v>12</v>
      </c>
      <c r="J8">
        <v>0</v>
      </c>
      <c r="N8" s="15"/>
      <c r="O8" s="15"/>
      <c r="P8" s="15"/>
      <c r="Q8" s="6"/>
    </row>
    <row r="9" spans="1:28" ht="15" thickBot="1" x14ac:dyDescent="0.35">
      <c r="A9" t="s">
        <v>17</v>
      </c>
      <c r="B9">
        <v>6</v>
      </c>
      <c r="C9">
        <v>2</v>
      </c>
      <c r="D9">
        <v>1</v>
      </c>
      <c r="E9">
        <v>5</v>
      </c>
      <c r="F9">
        <v>7</v>
      </c>
      <c r="G9">
        <v>4</v>
      </c>
      <c r="H9">
        <v>18</v>
      </c>
      <c r="I9">
        <v>30</v>
      </c>
      <c r="J9">
        <v>0</v>
      </c>
      <c r="N9" s="16"/>
      <c r="O9" s="16"/>
      <c r="P9" s="16"/>
      <c r="Q9" s="14" t="s">
        <v>176</v>
      </c>
      <c r="R9" s="10" t="s">
        <v>177</v>
      </c>
      <c r="S9" s="10" t="s">
        <v>178</v>
      </c>
      <c r="T9" s="10" t="s">
        <v>179</v>
      </c>
      <c r="U9" s="10" t="s">
        <v>180</v>
      </c>
      <c r="V9" s="10" t="s">
        <v>181</v>
      </c>
      <c r="W9" s="10" t="s">
        <v>182</v>
      </c>
      <c r="X9" s="10" t="s">
        <v>183</v>
      </c>
      <c r="Y9" s="10" t="s">
        <v>184</v>
      </c>
      <c r="Z9" s="10" t="s">
        <v>185</v>
      </c>
    </row>
    <row r="10" spans="1:28" ht="15" thickBot="1" x14ac:dyDescent="0.35">
      <c r="A10" t="s">
        <v>19</v>
      </c>
      <c r="B10">
        <v>5</v>
      </c>
      <c r="C10">
        <v>5</v>
      </c>
      <c r="D10">
        <v>1</v>
      </c>
      <c r="E10">
        <v>9</v>
      </c>
      <c r="F10">
        <v>6</v>
      </c>
      <c r="G10">
        <v>4</v>
      </c>
      <c r="H10">
        <v>20</v>
      </c>
      <c r="I10">
        <v>14</v>
      </c>
      <c r="J10">
        <v>1000</v>
      </c>
      <c r="N10" s="15"/>
      <c r="O10" s="15"/>
      <c r="P10" s="15"/>
      <c r="Q10" s="14" t="s">
        <v>186</v>
      </c>
      <c r="R10" s="11">
        <v>5</v>
      </c>
      <c r="S10" s="11">
        <v>3</v>
      </c>
      <c r="T10" s="11">
        <v>1</v>
      </c>
      <c r="U10" s="11">
        <v>7</v>
      </c>
      <c r="V10" s="11">
        <v>7</v>
      </c>
      <c r="W10" s="11">
        <v>4</v>
      </c>
      <c r="X10" s="11">
        <v>22</v>
      </c>
      <c r="Y10" s="11">
        <v>26</v>
      </c>
      <c r="Z10" s="11">
        <v>1000</v>
      </c>
    </row>
    <row r="11" spans="1:28" ht="15" thickBot="1" x14ac:dyDescent="0.35">
      <c r="A11" t="s">
        <v>21</v>
      </c>
      <c r="B11">
        <v>5</v>
      </c>
      <c r="C11">
        <v>3</v>
      </c>
      <c r="D11">
        <v>1</v>
      </c>
      <c r="E11">
        <v>7</v>
      </c>
      <c r="F11">
        <v>7</v>
      </c>
      <c r="G11">
        <v>2</v>
      </c>
      <c r="H11">
        <v>32</v>
      </c>
      <c r="I11">
        <v>16</v>
      </c>
      <c r="J11">
        <v>0</v>
      </c>
      <c r="N11" s="15"/>
      <c r="O11" s="15"/>
      <c r="P11" s="15"/>
      <c r="Q11" s="14" t="s">
        <v>187</v>
      </c>
      <c r="R11" s="11">
        <v>4</v>
      </c>
      <c r="S11" s="11">
        <v>4</v>
      </c>
      <c r="T11" s="11">
        <v>1</v>
      </c>
      <c r="U11" s="11">
        <v>6</v>
      </c>
      <c r="V11" s="11">
        <v>6</v>
      </c>
      <c r="W11" s="11">
        <v>4</v>
      </c>
      <c r="X11" s="11">
        <v>19</v>
      </c>
      <c r="Y11" s="11">
        <v>21</v>
      </c>
      <c r="Z11" s="11">
        <v>0</v>
      </c>
    </row>
    <row r="12" spans="1:28" ht="15" thickBot="1" x14ac:dyDescent="0.35">
      <c r="A12" t="s">
        <v>23</v>
      </c>
      <c r="B12">
        <v>3</v>
      </c>
      <c r="C12">
        <v>1</v>
      </c>
      <c r="D12">
        <v>1</v>
      </c>
      <c r="E12">
        <v>1</v>
      </c>
      <c r="F12">
        <v>7</v>
      </c>
      <c r="G12">
        <v>3</v>
      </c>
      <c r="H12">
        <v>26</v>
      </c>
      <c r="I12">
        <v>13</v>
      </c>
      <c r="J12">
        <v>0</v>
      </c>
      <c r="Q12" s="10" t="s">
        <v>188</v>
      </c>
      <c r="R12" s="11">
        <v>6</v>
      </c>
      <c r="S12" s="11">
        <v>2</v>
      </c>
      <c r="T12" s="11">
        <v>1</v>
      </c>
      <c r="U12" s="11">
        <v>5</v>
      </c>
      <c r="V12" s="11">
        <v>7</v>
      </c>
      <c r="W12" s="11">
        <v>3</v>
      </c>
      <c r="X12" s="11">
        <v>35</v>
      </c>
      <c r="Y12" s="11">
        <v>12</v>
      </c>
      <c r="Z12" s="11">
        <v>0</v>
      </c>
    </row>
    <row r="13" spans="1:28" ht="15" thickBot="1" x14ac:dyDescent="0.35">
      <c r="A13" t="s">
        <v>25</v>
      </c>
      <c r="B13">
        <v>6</v>
      </c>
      <c r="C13">
        <v>3</v>
      </c>
      <c r="D13">
        <v>1</v>
      </c>
      <c r="E13">
        <v>7</v>
      </c>
      <c r="F13">
        <v>7</v>
      </c>
      <c r="G13">
        <v>4</v>
      </c>
      <c r="H13">
        <v>39</v>
      </c>
      <c r="I13">
        <v>35</v>
      </c>
      <c r="J13">
        <v>0</v>
      </c>
      <c r="Q13" s="10" t="s">
        <v>189</v>
      </c>
      <c r="R13" s="11">
        <v>6</v>
      </c>
      <c r="S13" s="11">
        <v>2</v>
      </c>
      <c r="T13" s="11">
        <v>1</v>
      </c>
      <c r="U13" s="11">
        <v>5</v>
      </c>
      <c r="V13" s="11">
        <v>7</v>
      </c>
      <c r="W13" s="11">
        <v>4</v>
      </c>
      <c r="X13" s="11">
        <v>18</v>
      </c>
      <c r="Y13" s="11">
        <v>30</v>
      </c>
      <c r="Z13" s="11">
        <v>0</v>
      </c>
    </row>
    <row r="14" spans="1:28" ht="15" thickBot="1" x14ac:dyDescent="0.35">
      <c r="A14" t="s">
        <v>27</v>
      </c>
      <c r="B14">
        <v>2</v>
      </c>
      <c r="C14">
        <v>3</v>
      </c>
      <c r="D14">
        <v>1</v>
      </c>
      <c r="E14">
        <v>2</v>
      </c>
      <c r="F14">
        <v>7</v>
      </c>
      <c r="G14">
        <v>1</v>
      </c>
      <c r="H14">
        <v>36</v>
      </c>
      <c r="I14">
        <v>31</v>
      </c>
      <c r="J14">
        <v>0</v>
      </c>
      <c r="Q14" s="10" t="s">
        <v>190</v>
      </c>
      <c r="R14" s="11">
        <v>5</v>
      </c>
      <c r="S14" s="11">
        <v>5</v>
      </c>
      <c r="T14" s="11">
        <v>1</v>
      </c>
      <c r="U14" s="11">
        <v>9</v>
      </c>
      <c r="V14" s="11">
        <v>6</v>
      </c>
      <c r="W14" s="11">
        <v>4</v>
      </c>
      <c r="X14" s="11">
        <v>20</v>
      </c>
      <c r="Y14" s="11">
        <v>14</v>
      </c>
      <c r="Z14" s="11">
        <v>1000</v>
      </c>
    </row>
    <row r="15" spans="1:28" ht="15" thickBot="1" x14ac:dyDescent="0.35">
      <c r="A15" t="s">
        <v>29</v>
      </c>
      <c r="B15">
        <v>6</v>
      </c>
      <c r="C15">
        <v>1</v>
      </c>
      <c r="D15">
        <v>1</v>
      </c>
      <c r="E15">
        <v>1</v>
      </c>
      <c r="F15">
        <v>6</v>
      </c>
      <c r="G15">
        <v>4</v>
      </c>
      <c r="H15">
        <v>46</v>
      </c>
      <c r="I15">
        <v>5</v>
      </c>
      <c r="J15">
        <v>1000</v>
      </c>
      <c r="Q15" s="10" t="s">
        <v>191</v>
      </c>
      <c r="R15" s="11">
        <v>5</v>
      </c>
      <c r="S15" s="11">
        <v>3</v>
      </c>
      <c r="T15" s="11">
        <v>1</v>
      </c>
      <c r="U15" s="11">
        <v>7</v>
      </c>
      <c r="V15" s="11">
        <v>7</v>
      </c>
      <c r="W15" s="11">
        <v>2</v>
      </c>
      <c r="X15" s="11">
        <v>32</v>
      </c>
      <c r="Y15" s="11">
        <v>16</v>
      </c>
      <c r="Z15" s="11">
        <v>0</v>
      </c>
    </row>
    <row r="16" spans="1:28" ht="15" thickBot="1" x14ac:dyDescent="0.35">
      <c r="A16" t="s">
        <v>31</v>
      </c>
      <c r="B16">
        <v>4</v>
      </c>
      <c r="C16">
        <v>3</v>
      </c>
      <c r="D16">
        <v>1</v>
      </c>
      <c r="E16">
        <v>5</v>
      </c>
      <c r="F16">
        <v>7</v>
      </c>
      <c r="G16">
        <v>4</v>
      </c>
      <c r="H16">
        <v>11</v>
      </c>
      <c r="I16">
        <v>36</v>
      </c>
      <c r="J16">
        <v>1000</v>
      </c>
      <c r="Q16" s="10" t="s">
        <v>192</v>
      </c>
      <c r="R16" s="11">
        <v>3</v>
      </c>
      <c r="S16" s="11">
        <v>1</v>
      </c>
      <c r="T16" s="11">
        <v>1</v>
      </c>
      <c r="U16" s="11">
        <v>1</v>
      </c>
      <c r="V16" s="11">
        <v>7</v>
      </c>
      <c r="W16" s="11">
        <v>3</v>
      </c>
      <c r="X16" s="11">
        <v>26</v>
      </c>
      <c r="Y16" s="11">
        <v>13</v>
      </c>
      <c r="Z16" s="11">
        <v>0</v>
      </c>
    </row>
    <row r="17" spans="1:26" ht="15" thickBot="1" x14ac:dyDescent="0.35">
      <c r="A17" t="s">
        <v>33</v>
      </c>
      <c r="B17">
        <v>6</v>
      </c>
      <c r="C17">
        <v>3</v>
      </c>
      <c r="D17">
        <v>1</v>
      </c>
      <c r="E17">
        <v>7</v>
      </c>
      <c r="F17">
        <v>7</v>
      </c>
      <c r="G17">
        <v>4</v>
      </c>
      <c r="H17">
        <v>41</v>
      </c>
      <c r="I17">
        <v>10</v>
      </c>
      <c r="J17">
        <v>1000</v>
      </c>
      <c r="Q17" s="10" t="s">
        <v>193</v>
      </c>
      <c r="R17" s="11">
        <v>6</v>
      </c>
      <c r="S17" s="11">
        <v>3</v>
      </c>
      <c r="T17" s="11">
        <v>1</v>
      </c>
      <c r="U17" s="11">
        <v>7</v>
      </c>
      <c r="V17" s="11">
        <v>7</v>
      </c>
      <c r="W17" s="11">
        <v>4</v>
      </c>
      <c r="X17" s="11">
        <v>39</v>
      </c>
      <c r="Y17" s="11">
        <v>35</v>
      </c>
      <c r="Z17" s="11">
        <v>0</v>
      </c>
    </row>
    <row r="18" spans="1:26" ht="15" thickBot="1" x14ac:dyDescent="0.35">
      <c r="A18" t="s">
        <v>35</v>
      </c>
      <c r="B18">
        <v>5</v>
      </c>
      <c r="C18">
        <v>1</v>
      </c>
      <c r="D18">
        <v>1</v>
      </c>
      <c r="E18">
        <v>1</v>
      </c>
      <c r="F18">
        <v>4</v>
      </c>
      <c r="G18">
        <v>4</v>
      </c>
      <c r="H18">
        <v>33</v>
      </c>
      <c r="I18">
        <v>22</v>
      </c>
      <c r="J18">
        <v>0</v>
      </c>
      <c r="Q18" s="10" t="s">
        <v>194</v>
      </c>
      <c r="R18" s="11">
        <v>2</v>
      </c>
      <c r="S18" s="11">
        <v>3</v>
      </c>
      <c r="T18" s="11">
        <v>1</v>
      </c>
      <c r="U18" s="11">
        <v>2</v>
      </c>
      <c r="V18" s="11">
        <v>7</v>
      </c>
      <c r="W18" s="11">
        <v>1</v>
      </c>
      <c r="X18" s="11">
        <v>36</v>
      </c>
      <c r="Y18" s="11">
        <v>31</v>
      </c>
      <c r="Z18" s="11">
        <v>0</v>
      </c>
    </row>
    <row r="19" spans="1:26" ht="15" thickBot="1" x14ac:dyDescent="0.35">
      <c r="A19" t="s">
        <v>37</v>
      </c>
      <c r="B19">
        <v>6</v>
      </c>
      <c r="C19">
        <v>1</v>
      </c>
      <c r="D19">
        <v>1</v>
      </c>
      <c r="E19">
        <v>1</v>
      </c>
      <c r="F19">
        <v>6</v>
      </c>
      <c r="G19">
        <v>1</v>
      </c>
      <c r="H19">
        <v>16</v>
      </c>
      <c r="I19">
        <v>18</v>
      </c>
      <c r="J19">
        <v>1000</v>
      </c>
      <c r="Q19" s="10" t="s">
        <v>195</v>
      </c>
      <c r="R19" s="11">
        <v>6</v>
      </c>
      <c r="S19" s="11">
        <v>1</v>
      </c>
      <c r="T19" s="11">
        <v>1</v>
      </c>
      <c r="U19" s="11">
        <v>1</v>
      </c>
      <c r="V19" s="11">
        <v>6</v>
      </c>
      <c r="W19" s="11">
        <v>4</v>
      </c>
      <c r="X19" s="11">
        <v>46</v>
      </c>
      <c r="Y19" s="11">
        <v>5</v>
      </c>
      <c r="Z19" s="11">
        <v>1000</v>
      </c>
    </row>
    <row r="20" spans="1:26" ht="15" thickBot="1" x14ac:dyDescent="0.35">
      <c r="A20" t="s">
        <v>39</v>
      </c>
      <c r="B20">
        <v>6</v>
      </c>
      <c r="C20">
        <v>2</v>
      </c>
      <c r="D20">
        <v>1</v>
      </c>
      <c r="E20">
        <v>5</v>
      </c>
      <c r="F20">
        <v>7</v>
      </c>
      <c r="G20">
        <v>4</v>
      </c>
      <c r="H20">
        <v>34</v>
      </c>
      <c r="I20">
        <v>23</v>
      </c>
      <c r="J20">
        <v>1000</v>
      </c>
      <c r="Q20" s="10" t="s">
        <v>196</v>
      </c>
      <c r="R20" s="11">
        <v>4</v>
      </c>
      <c r="S20" s="11">
        <v>3</v>
      </c>
      <c r="T20" s="11">
        <v>1</v>
      </c>
      <c r="U20" s="11">
        <v>5</v>
      </c>
      <c r="V20" s="11">
        <v>7</v>
      </c>
      <c r="W20" s="11">
        <v>4</v>
      </c>
      <c r="X20" s="11">
        <v>11</v>
      </c>
      <c r="Y20" s="11">
        <v>36</v>
      </c>
      <c r="Z20" s="11">
        <v>1000</v>
      </c>
    </row>
    <row r="21" spans="1:26" ht="15" thickBot="1" x14ac:dyDescent="0.35">
      <c r="A21" t="s">
        <v>41</v>
      </c>
      <c r="B21">
        <v>6</v>
      </c>
      <c r="C21">
        <v>4</v>
      </c>
      <c r="D21">
        <v>1</v>
      </c>
      <c r="E21">
        <v>8</v>
      </c>
      <c r="F21">
        <v>7</v>
      </c>
      <c r="G21">
        <v>2</v>
      </c>
      <c r="H21">
        <v>38</v>
      </c>
      <c r="I21">
        <v>6</v>
      </c>
      <c r="J21">
        <v>1000</v>
      </c>
      <c r="Q21" s="10" t="s">
        <v>197</v>
      </c>
      <c r="R21" s="11">
        <v>6</v>
      </c>
      <c r="S21" s="11">
        <v>3</v>
      </c>
      <c r="T21" s="11">
        <v>1</v>
      </c>
      <c r="U21" s="11">
        <v>7</v>
      </c>
      <c r="V21" s="11">
        <v>7</v>
      </c>
      <c r="W21" s="11">
        <v>4</v>
      </c>
      <c r="X21" s="11">
        <v>41</v>
      </c>
      <c r="Y21" s="11">
        <v>10</v>
      </c>
      <c r="Z21" s="11">
        <v>1000</v>
      </c>
    </row>
    <row r="22" spans="1:26" ht="15" thickBot="1" x14ac:dyDescent="0.35">
      <c r="A22" t="s">
        <v>43</v>
      </c>
      <c r="B22">
        <v>3</v>
      </c>
      <c r="C22">
        <v>1</v>
      </c>
      <c r="D22">
        <v>1</v>
      </c>
      <c r="E22">
        <v>1</v>
      </c>
      <c r="F22">
        <v>3</v>
      </c>
      <c r="G22">
        <v>4</v>
      </c>
      <c r="H22">
        <v>15</v>
      </c>
      <c r="I22">
        <v>40</v>
      </c>
      <c r="J22">
        <v>0</v>
      </c>
      <c r="Q22" s="10" t="s">
        <v>198</v>
      </c>
      <c r="R22" s="11">
        <v>5</v>
      </c>
      <c r="S22" s="11">
        <v>1</v>
      </c>
      <c r="T22" s="11">
        <v>1</v>
      </c>
      <c r="U22" s="11">
        <v>1</v>
      </c>
      <c r="V22" s="11">
        <v>4</v>
      </c>
      <c r="W22" s="11">
        <v>4</v>
      </c>
      <c r="X22" s="11">
        <v>33</v>
      </c>
      <c r="Y22" s="11">
        <v>22</v>
      </c>
      <c r="Z22" s="11">
        <v>0</v>
      </c>
    </row>
    <row r="23" spans="1:26" ht="15" thickBot="1" x14ac:dyDescent="0.35">
      <c r="A23" t="s">
        <v>45</v>
      </c>
      <c r="B23">
        <v>6</v>
      </c>
      <c r="C23">
        <v>1</v>
      </c>
      <c r="D23">
        <v>1</v>
      </c>
      <c r="E23">
        <v>1</v>
      </c>
      <c r="F23">
        <v>7</v>
      </c>
      <c r="G23">
        <v>4</v>
      </c>
      <c r="H23">
        <v>44</v>
      </c>
      <c r="I23">
        <v>4</v>
      </c>
      <c r="J23">
        <v>0</v>
      </c>
      <c r="Q23" s="10" t="s">
        <v>199</v>
      </c>
      <c r="R23" s="11">
        <v>6</v>
      </c>
      <c r="S23" s="11">
        <v>1</v>
      </c>
      <c r="T23" s="11">
        <v>1</v>
      </c>
      <c r="U23" s="11">
        <v>1</v>
      </c>
      <c r="V23" s="11">
        <v>6</v>
      </c>
      <c r="W23" s="11">
        <v>1</v>
      </c>
      <c r="X23" s="11">
        <v>16</v>
      </c>
      <c r="Y23" s="11">
        <v>18</v>
      </c>
      <c r="Z23" s="11">
        <v>1000</v>
      </c>
    </row>
    <row r="24" spans="1:26" ht="15" thickBot="1" x14ac:dyDescent="0.35">
      <c r="A24" t="s">
        <v>47</v>
      </c>
      <c r="B24">
        <v>4</v>
      </c>
      <c r="C24">
        <v>2</v>
      </c>
      <c r="D24">
        <v>1</v>
      </c>
      <c r="E24">
        <v>2</v>
      </c>
      <c r="F24">
        <v>7</v>
      </c>
      <c r="G24">
        <v>4</v>
      </c>
      <c r="H24">
        <v>28</v>
      </c>
      <c r="I24">
        <v>11</v>
      </c>
      <c r="J24">
        <v>0</v>
      </c>
      <c r="Q24" s="10" t="s">
        <v>200</v>
      </c>
      <c r="R24" s="11">
        <v>6</v>
      </c>
      <c r="S24" s="11">
        <v>2</v>
      </c>
      <c r="T24" s="11">
        <v>1</v>
      </c>
      <c r="U24" s="11">
        <v>5</v>
      </c>
      <c r="V24" s="11">
        <v>7</v>
      </c>
      <c r="W24" s="11">
        <v>4</v>
      </c>
      <c r="X24" s="11">
        <v>34</v>
      </c>
      <c r="Y24" s="11">
        <v>23</v>
      </c>
      <c r="Z24" s="11">
        <v>1000</v>
      </c>
    </row>
    <row r="25" spans="1:26" ht="15" thickBot="1" x14ac:dyDescent="0.35">
      <c r="A25" t="s">
        <v>49</v>
      </c>
      <c r="B25">
        <v>5</v>
      </c>
      <c r="C25">
        <v>2</v>
      </c>
      <c r="D25">
        <v>1</v>
      </c>
      <c r="E25">
        <v>5</v>
      </c>
      <c r="F25">
        <v>6</v>
      </c>
      <c r="G25">
        <v>3</v>
      </c>
      <c r="H25">
        <v>43</v>
      </c>
      <c r="I25">
        <v>9</v>
      </c>
      <c r="J25">
        <v>1000</v>
      </c>
      <c r="Q25" s="10" t="s">
        <v>201</v>
      </c>
      <c r="R25" s="11">
        <v>6</v>
      </c>
      <c r="S25" s="11">
        <v>4</v>
      </c>
      <c r="T25" s="11">
        <v>1</v>
      </c>
      <c r="U25" s="11">
        <v>8</v>
      </c>
      <c r="V25" s="11">
        <v>7</v>
      </c>
      <c r="W25" s="11">
        <v>2</v>
      </c>
      <c r="X25" s="11">
        <v>38</v>
      </c>
      <c r="Y25" s="11">
        <v>6</v>
      </c>
      <c r="Z25" s="11">
        <v>1000</v>
      </c>
    </row>
    <row r="26" spans="1:26" ht="15" thickBot="1" x14ac:dyDescent="0.35">
      <c r="A26" t="s">
        <v>51</v>
      </c>
      <c r="B26">
        <v>6</v>
      </c>
      <c r="C26">
        <v>1</v>
      </c>
      <c r="D26">
        <v>1</v>
      </c>
      <c r="E26">
        <v>1</v>
      </c>
      <c r="F26">
        <v>7</v>
      </c>
      <c r="G26">
        <v>4</v>
      </c>
      <c r="H26">
        <v>47</v>
      </c>
      <c r="I26">
        <v>3</v>
      </c>
      <c r="J26">
        <v>1000</v>
      </c>
      <c r="Q26" s="10" t="s">
        <v>202</v>
      </c>
      <c r="R26" s="11">
        <v>3</v>
      </c>
      <c r="S26" s="11">
        <v>1</v>
      </c>
      <c r="T26" s="11">
        <v>1</v>
      </c>
      <c r="U26" s="11">
        <v>1</v>
      </c>
      <c r="V26" s="11">
        <v>3</v>
      </c>
      <c r="W26" s="11">
        <v>4</v>
      </c>
      <c r="X26" s="11">
        <v>15</v>
      </c>
      <c r="Y26" s="11">
        <v>40</v>
      </c>
      <c r="Z26" s="11">
        <v>0</v>
      </c>
    </row>
    <row r="27" spans="1:26" ht="15" thickBot="1" x14ac:dyDescent="0.35">
      <c r="A27" t="s">
        <v>53</v>
      </c>
      <c r="B27">
        <v>6</v>
      </c>
      <c r="C27">
        <v>3</v>
      </c>
      <c r="D27">
        <v>1</v>
      </c>
      <c r="E27">
        <v>7</v>
      </c>
      <c r="F27">
        <v>6</v>
      </c>
      <c r="G27">
        <v>4</v>
      </c>
      <c r="H27">
        <v>42</v>
      </c>
      <c r="I27">
        <v>20</v>
      </c>
      <c r="J27">
        <v>1000</v>
      </c>
      <c r="Q27" s="10" t="s">
        <v>203</v>
      </c>
      <c r="R27" s="11">
        <v>6</v>
      </c>
      <c r="S27" s="11">
        <v>1</v>
      </c>
      <c r="T27" s="11">
        <v>1</v>
      </c>
      <c r="U27" s="11">
        <v>1</v>
      </c>
      <c r="V27" s="11">
        <v>7</v>
      </c>
      <c r="W27" s="11">
        <v>4</v>
      </c>
      <c r="X27" s="11">
        <v>44</v>
      </c>
      <c r="Y27" s="11">
        <v>4</v>
      </c>
      <c r="Z27" s="11">
        <v>0</v>
      </c>
    </row>
    <row r="28" spans="1:26" ht="15" thickBot="1" x14ac:dyDescent="0.35">
      <c r="A28" t="s">
        <v>55</v>
      </c>
      <c r="B28">
        <v>6</v>
      </c>
      <c r="C28">
        <v>4</v>
      </c>
      <c r="D28">
        <v>1</v>
      </c>
      <c r="E28">
        <v>8</v>
      </c>
      <c r="F28">
        <v>7</v>
      </c>
      <c r="G28">
        <v>4</v>
      </c>
      <c r="H28">
        <v>9</v>
      </c>
      <c r="I28">
        <v>46</v>
      </c>
      <c r="J28">
        <v>1000</v>
      </c>
      <c r="Q28" s="10" t="s">
        <v>204</v>
      </c>
      <c r="R28" s="11">
        <v>4</v>
      </c>
      <c r="S28" s="11">
        <v>2</v>
      </c>
      <c r="T28" s="11">
        <v>1</v>
      </c>
      <c r="U28" s="11">
        <v>2</v>
      </c>
      <c r="V28" s="11">
        <v>7</v>
      </c>
      <c r="W28" s="11">
        <v>4</v>
      </c>
      <c r="X28" s="11">
        <v>28</v>
      </c>
      <c r="Y28" s="11">
        <v>11</v>
      </c>
      <c r="Z28" s="11">
        <v>0</v>
      </c>
    </row>
    <row r="29" spans="1:26" ht="15" thickBot="1" x14ac:dyDescent="0.35">
      <c r="A29" t="s">
        <v>57</v>
      </c>
      <c r="B29">
        <v>6</v>
      </c>
      <c r="C29">
        <v>4</v>
      </c>
      <c r="D29">
        <v>1</v>
      </c>
      <c r="E29">
        <v>8</v>
      </c>
      <c r="F29">
        <v>5</v>
      </c>
      <c r="G29">
        <v>2</v>
      </c>
      <c r="H29">
        <v>6</v>
      </c>
      <c r="I29">
        <v>44</v>
      </c>
      <c r="J29">
        <v>0</v>
      </c>
      <c r="Q29" s="10" t="s">
        <v>205</v>
      </c>
      <c r="R29" s="11">
        <v>5</v>
      </c>
      <c r="S29" s="11">
        <v>2</v>
      </c>
      <c r="T29" s="11">
        <v>1</v>
      </c>
      <c r="U29" s="11">
        <v>5</v>
      </c>
      <c r="V29" s="11">
        <v>6</v>
      </c>
      <c r="W29" s="11">
        <v>3</v>
      </c>
      <c r="X29" s="11">
        <v>43</v>
      </c>
      <c r="Y29" s="11">
        <v>9</v>
      </c>
      <c r="Z29" s="11">
        <v>1000</v>
      </c>
    </row>
    <row r="30" spans="1:26" ht="15" thickBot="1" x14ac:dyDescent="0.35">
      <c r="A30" t="s">
        <v>59</v>
      </c>
      <c r="B30">
        <v>5</v>
      </c>
      <c r="C30">
        <v>1</v>
      </c>
      <c r="D30">
        <v>1</v>
      </c>
      <c r="E30">
        <v>1</v>
      </c>
      <c r="F30">
        <v>7</v>
      </c>
      <c r="G30">
        <v>4</v>
      </c>
      <c r="H30">
        <v>27</v>
      </c>
      <c r="I30">
        <v>32</v>
      </c>
      <c r="J30">
        <v>0</v>
      </c>
      <c r="Q30" s="10" t="s">
        <v>206</v>
      </c>
      <c r="R30" s="11">
        <v>6</v>
      </c>
      <c r="S30" s="11">
        <v>1</v>
      </c>
      <c r="T30" s="11">
        <v>1</v>
      </c>
      <c r="U30" s="11">
        <v>1</v>
      </c>
      <c r="V30" s="11">
        <v>7</v>
      </c>
      <c r="W30" s="11">
        <v>4</v>
      </c>
      <c r="X30" s="11">
        <v>47</v>
      </c>
      <c r="Y30" s="11">
        <v>3</v>
      </c>
      <c r="Z30" s="11">
        <v>1000</v>
      </c>
    </row>
    <row r="31" spans="1:26" ht="15" thickBot="1" x14ac:dyDescent="0.35">
      <c r="A31" t="s">
        <v>61</v>
      </c>
      <c r="B31">
        <v>6</v>
      </c>
      <c r="C31">
        <v>3</v>
      </c>
      <c r="D31">
        <v>1</v>
      </c>
      <c r="E31">
        <v>7</v>
      </c>
      <c r="F31">
        <v>7</v>
      </c>
      <c r="G31">
        <v>4</v>
      </c>
      <c r="H31">
        <v>45</v>
      </c>
      <c r="I31">
        <v>8</v>
      </c>
      <c r="J31">
        <v>1000</v>
      </c>
      <c r="Q31" s="10" t="s">
        <v>207</v>
      </c>
      <c r="R31" s="11">
        <v>6</v>
      </c>
      <c r="S31" s="11">
        <v>3</v>
      </c>
      <c r="T31" s="11">
        <v>1</v>
      </c>
      <c r="U31" s="11">
        <v>7</v>
      </c>
      <c r="V31" s="11">
        <v>6</v>
      </c>
      <c r="W31" s="11">
        <v>4</v>
      </c>
      <c r="X31" s="11">
        <v>42</v>
      </c>
      <c r="Y31" s="11">
        <v>20</v>
      </c>
      <c r="Z31" s="11">
        <v>1000</v>
      </c>
    </row>
    <row r="32" spans="1:26" ht="15" thickBot="1" x14ac:dyDescent="0.35">
      <c r="A32" t="s">
        <v>63</v>
      </c>
      <c r="B32">
        <v>5</v>
      </c>
      <c r="C32">
        <v>1</v>
      </c>
      <c r="D32">
        <v>1</v>
      </c>
      <c r="E32">
        <v>1</v>
      </c>
      <c r="F32">
        <v>6</v>
      </c>
      <c r="G32">
        <v>2</v>
      </c>
      <c r="H32">
        <v>30</v>
      </c>
      <c r="I32">
        <v>7</v>
      </c>
      <c r="J32">
        <v>0</v>
      </c>
      <c r="Q32" s="10" t="s">
        <v>208</v>
      </c>
      <c r="R32" s="11">
        <v>6</v>
      </c>
      <c r="S32" s="11">
        <v>4</v>
      </c>
      <c r="T32" s="11">
        <v>1</v>
      </c>
      <c r="U32" s="11">
        <v>8</v>
      </c>
      <c r="V32" s="11">
        <v>7</v>
      </c>
      <c r="W32" s="11">
        <v>4</v>
      </c>
      <c r="X32" s="11">
        <v>9</v>
      </c>
      <c r="Y32" s="11">
        <v>46</v>
      </c>
      <c r="Z32" s="11">
        <v>1000</v>
      </c>
    </row>
    <row r="33" spans="1:26" ht="15" thickBot="1" x14ac:dyDescent="0.35">
      <c r="A33" t="s">
        <v>65</v>
      </c>
      <c r="B33">
        <v>5</v>
      </c>
      <c r="C33">
        <v>2</v>
      </c>
      <c r="D33">
        <v>1</v>
      </c>
      <c r="E33">
        <v>5</v>
      </c>
      <c r="F33">
        <v>6</v>
      </c>
      <c r="G33">
        <v>4</v>
      </c>
      <c r="H33">
        <v>37</v>
      </c>
      <c r="I33">
        <v>28</v>
      </c>
      <c r="J33">
        <v>0</v>
      </c>
      <c r="Q33" s="10" t="s">
        <v>209</v>
      </c>
      <c r="R33" s="11">
        <v>6</v>
      </c>
      <c r="S33" s="11">
        <v>4</v>
      </c>
      <c r="T33" s="11">
        <v>1</v>
      </c>
      <c r="U33" s="11">
        <v>8</v>
      </c>
      <c r="V33" s="11">
        <v>5</v>
      </c>
      <c r="W33" s="11">
        <v>2</v>
      </c>
      <c r="X33" s="11">
        <v>6</v>
      </c>
      <c r="Y33" s="11">
        <v>44</v>
      </c>
      <c r="Z33" s="11">
        <v>0</v>
      </c>
    </row>
    <row r="34" spans="1:26" ht="15" thickBot="1" x14ac:dyDescent="0.35">
      <c r="A34" t="s">
        <v>67</v>
      </c>
      <c r="B34">
        <v>6</v>
      </c>
      <c r="C34">
        <v>1</v>
      </c>
      <c r="D34">
        <v>1</v>
      </c>
      <c r="E34">
        <v>1</v>
      </c>
      <c r="F34">
        <v>7</v>
      </c>
      <c r="G34">
        <v>4</v>
      </c>
      <c r="H34">
        <v>48</v>
      </c>
      <c r="I34">
        <v>2</v>
      </c>
      <c r="J34">
        <v>0</v>
      </c>
      <c r="Q34" s="10" t="s">
        <v>210</v>
      </c>
      <c r="R34" s="11">
        <v>5</v>
      </c>
      <c r="S34" s="11">
        <v>1</v>
      </c>
      <c r="T34" s="11">
        <v>1</v>
      </c>
      <c r="U34" s="11">
        <v>1</v>
      </c>
      <c r="V34" s="11">
        <v>7</v>
      </c>
      <c r="W34" s="11">
        <v>4</v>
      </c>
      <c r="X34" s="11">
        <v>27</v>
      </c>
      <c r="Y34" s="11">
        <v>32</v>
      </c>
      <c r="Z34" s="11">
        <v>0</v>
      </c>
    </row>
    <row r="35" spans="1:26" ht="15" thickBot="1" x14ac:dyDescent="0.35">
      <c r="A35" t="s">
        <v>69</v>
      </c>
      <c r="B35">
        <v>5</v>
      </c>
      <c r="C35">
        <v>3</v>
      </c>
      <c r="D35">
        <v>1</v>
      </c>
      <c r="E35">
        <v>7</v>
      </c>
      <c r="F35">
        <v>7</v>
      </c>
      <c r="G35">
        <v>4</v>
      </c>
      <c r="H35">
        <v>29</v>
      </c>
      <c r="I35">
        <v>17</v>
      </c>
      <c r="J35">
        <v>1000</v>
      </c>
      <c r="Q35" s="10" t="s">
        <v>211</v>
      </c>
      <c r="R35" s="11">
        <v>6</v>
      </c>
      <c r="S35" s="11">
        <v>3</v>
      </c>
      <c r="T35" s="11">
        <v>1</v>
      </c>
      <c r="U35" s="11">
        <v>7</v>
      </c>
      <c r="V35" s="11">
        <v>7</v>
      </c>
      <c r="W35" s="11">
        <v>4</v>
      </c>
      <c r="X35" s="11">
        <v>45</v>
      </c>
      <c r="Y35" s="11">
        <v>8</v>
      </c>
      <c r="Z35" s="11">
        <v>1000</v>
      </c>
    </row>
    <row r="36" spans="1:26" ht="15" thickBot="1" x14ac:dyDescent="0.35">
      <c r="A36" t="s">
        <v>71</v>
      </c>
      <c r="B36">
        <v>5</v>
      </c>
      <c r="C36">
        <v>2</v>
      </c>
      <c r="D36">
        <v>1</v>
      </c>
      <c r="E36">
        <v>5</v>
      </c>
      <c r="F36">
        <v>7</v>
      </c>
      <c r="G36">
        <v>4</v>
      </c>
      <c r="H36">
        <v>23</v>
      </c>
      <c r="I36">
        <v>27</v>
      </c>
      <c r="J36">
        <v>0</v>
      </c>
      <c r="Q36" s="10" t="s">
        <v>212</v>
      </c>
      <c r="R36" s="11">
        <v>5</v>
      </c>
      <c r="S36" s="11">
        <v>1</v>
      </c>
      <c r="T36" s="11">
        <v>1</v>
      </c>
      <c r="U36" s="11">
        <v>1</v>
      </c>
      <c r="V36" s="11">
        <v>6</v>
      </c>
      <c r="W36" s="11">
        <v>2</v>
      </c>
      <c r="X36" s="11">
        <v>30</v>
      </c>
      <c r="Y36" s="11">
        <v>7</v>
      </c>
      <c r="Z36" s="11">
        <v>0</v>
      </c>
    </row>
    <row r="37" spans="1:26" ht="15" thickBot="1" x14ac:dyDescent="0.35">
      <c r="A37" t="s">
        <v>73</v>
      </c>
      <c r="B37">
        <v>6</v>
      </c>
      <c r="C37">
        <v>2</v>
      </c>
      <c r="D37">
        <v>1</v>
      </c>
      <c r="E37">
        <v>5</v>
      </c>
      <c r="F37">
        <v>7</v>
      </c>
      <c r="G37">
        <v>4</v>
      </c>
      <c r="H37">
        <v>12</v>
      </c>
      <c r="I37">
        <v>37</v>
      </c>
      <c r="J37">
        <v>1000</v>
      </c>
      <c r="Q37" s="10" t="s">
        <v>213</v>
      </c>
      <c r="R37" s="11">
        <v>5</v>
      </c>
      <c r="S37" s="11">
        <v>2</v>
      </c>
      <c r="T37" s="11">
        <v>1</v>
      </c>
      <c r="U37" s="11">
        <v>5</v>
      </c>
      <c r="V37" s="11">
        <v>6</v>
      </c>
      <c r="W37" s="11">
        <v>4</v>
      </c>
      <c r="X37" s="11">
        <v>37</v>
      </c>
      <c r="Y37" s="11">
        <v>28</v>
      </c>
      <c r="Z37" s="11">
        <v>0</v>
      </c>
    </row>
    <row r="38" spans="1:26" ht="15" thickBot="1" x14ac:dyDescent="0.35">
      <c r="A38" t="s">
        <v>75</v>
      </c>
      <c r="B38">
        <v>3</v>
      </c>
      <c r="C38">
        <v>1</v>
      </c>
      <c r="D38">
        <v>1</v>
      </c>
      <c r="E38">
        <v>1</v>
      </c>
      <c r="F38">
        <v>6</v>
      </c>
      <c r="G38">
        <v>4</v>
      </c>
      <c r="H38">
        <v>14</v>
      </c>
      <c r="I38">
        <v>33</v>
      </c>
      <c r="J38">
        <v>0</v>
      </c>
      <c r="Q38" s="10" t="s">
        <v>214</v>
      </c>
      <c r="R38" s="11">
        <v>6</v>
      </c>
      <c r="S38" s="11">
        <v>1</v>
      </c>
      <c r="T38" s="11">
        <v>1</v>
      </c>
      <c r="U38" s="11">
        <v>1</v>
      </c>
      <c r="V38" s="11">
        <v>7</v>
      </c>
      <c r="W38" s="11">
        <v>4</v>
      </c>
      <c r="X38" s="11">
        <v>48</v>
      </c>
      <c r="Y38" s="11">
        <v>2</v>
      </c>
      <c r="Z38" s="11">
        <v>0</v>
      </c>
    </row>
    <row r="39" spans="1:26" ht="15" thickBot="1" x14ac:dyDescent="0.35">
      <c r="A39" t="s">
        <v>77</v>
      </c>
      <c r="B39">
        <v>6</v>
      </c>
      <c r="C39">
        <v>5</v>
      </c>
      <c r="D39">
        <v>1</v>
      </c>
      <c r="E39">
        <v>9</v>
      </c>
      <c r="F39">
        <v>5</v>
      </c>
      <c r="G39">
        <v>3</v>
      </c>
      <c r="H39">
        <v>40</v>
      </c>
      <c r="I39">
        <v>19</v>
      </c>
      <c r="J39">
        <v>1000</v>
      </c>
      <c r="Q39" s="10" t="s">
        <v>215</v>
      </c>
      <c r="R39" s="11">
        <v>5</v>
      </c>
      <c r="S39" s="11">
        <v>3</v>
      </c>
      <c r="T39" s="11">
        <v>1</v>
      </c>
      <c r="U39" s="11">
        <v>7</v>
      </c>
      <c r="V39" s="11">
        <v>7</v>
      </c>
      <c r="W39" s="11">
        <v>4</v>
      </c>
      <c r="X39" s="11">
        <v>29</v>
      </c>
      <c r="Y39" s="11">
        <v>17</v>
      </c>
      <c r="Z39" s="11">
        <v>1000</v>
      </c>
    </row>
    <row r="40" spans="1:26" ht="15" thickBot="1" x14ac:dyDescent="0.35">
      <c r="A40" t="s">
        <v>79</v>
      </c>
      <c r="B40">
        <v>5</v>
      </c>
      <c r="C40">
        <v>1</v>
      </c>
      <c r="D40">
        <v>1</v>
      </c>
      <c r="E40">
        <v>1</v>
      </c>
      <c r="F40">
        <v>7</v>
      </c>
      <c r="G40">
        <v>4</v>
      </c>
      <c r="H40">
        <v>17</v>
      </c>
      <c r="I40">
        <v>25</v>
      </c>
      <c r="J40">
        <v>1000</v>
      </c>
      <c r="Q40" s="10" t="s">
        <v>216</v>
      </c>
      <c r="R40" s="11">
        <v>5</v>
      </c>
      <c r="S40" s="11">
        <v>2</v>
      </c>
      <c r="T40" s="11">
        <v>1</v>
      </c>
      <c r="U40" s="11">
        <v>5</v>
      </c>
      <c r="V40" s="11">
        <v>7</v>
      </c>
      <c r="W40" s="11">
        <v>4</v>
      </c>
      <c r="X40" s="11">
        <v>23</v>
      </c>
      <c r="Y40" s="11">
        <v>27</v>
      </c>
      <c r="Z40" s="11">
        <v>0</v>
      </c>
    </row>
    <row r="41" spans="1:26" ht="15" thickBot="1" x14ac:dyDescent="0.35">
      <c r="A41" t="s">
        <v>81</v>
      </c>
      <c r="B41">
        <v>5</v>
      </c>
      <c r="C41">
        <v>5</v>
      </c>
      <c r="D41">
        <v>1</v>
      </c>
      <c r="E41">
        <v>9</v>
      </c>
      <c r="F41">
        <v>7</v>
      </c>
      <c r="G41">
        <v>3</v>
      </c>
      <c r="H41">
        <v>4</v>
      </c>
      <c r="I41">
        <v>47</v>
      </c>
      <c r="J41">
        <v>1000</v>
      </c>
      <c r="Q41" s="10" t="s">
        <v>217</v>
      </c>
      <c r="R41" s="11">
        <v>6</v>
      </c>
      <c r="S41" s="11">
        <v>2</v>
      </c>
      <c r="T41" s="11">
        <v>1</v>
      </c>
      <c r="U41" s="11">
        <v>5</v>
      </c>
      <c r="V41" s="11">
        <v>7</v>
      </c>
      <c r="W41" s="11">
        <v>4</v>
      </c>
      <c r="X41" s="11">
        <v>12</v>
      </c>
      <c r="Y41" s="11">
        <v>37</v>
      </c>
      <c r="Z41" s="11">
        <v>1000</v>
      </c>
    </row>
    <row r="42" spans="1:26" ht="15" thickBot="1" x14ac:dyDescent="0.35">
      <c r="A42" t="s">
        <v>83</v>
      </c>
      <c r="B42">
        <v>1</v>
      </c>
      <c r="C42">
        <v>4</v>
      </c>
      <c r="D42">
        <v>1</v>
      </c>
      <c r="E42">
        <v>3</v>
      </c>
      <c r="F42">
        <v>4</v>
      </c>
      <c r="G42">
        <v>3</v>
      </c>
      <c r="H42">
        <v>5</v>
      </c>
      <c r="I42">
        <v>41</v>
      </c>
      <c r="J42">
        <v>0</v>
      </c>
      <c r="Q42" s="10" t="s">
        <v>218</v>
      </c>
      <c r="R42" s="11">
        <v>3</v>
      </c>
      <c r="S42" s="11">
        <v>1</v>
      </c>
      <c r="T42" s="11">
        <v>1</v>
      </c>
      <c r="U42" s="11">
        <v>1</v>
      </c>
      <c r="V42" s="11">
        <v>6</v>
      </c>
      <c r="W42" s="11">
        <v>4</v>
      </c>
      <c r="X42" s="11">
        <v>14</v>
      </c>
      <c r="Y42" s="11">
        <v>33</v>
      </c>
      <c r="Z42" s="11">
        <v>0</v>
      </c>
    </row>
    <row r="43" spans="1:26" ht="15" thickBot="1" x14ac:dyDescent="0.35">
      <c r="A43" t="s">
        <v>85</v>
      </c>
      <c r="B43">
        <v>6</v>
      </c>
      <c r="C43">
        <v>1</v>
      </c>
      <c r="D43">
        <v>1</v>
      </c>
      <c r="E43">
        <v>1</v>
      </c>
      <c r="F43">
        <v>7</v>
      </c>
      <c r="G43">
        <v>4</v>
      </c>
      <c r="H43">
        <v>49</v>
      </c>
      <c r="I43">
        <v>1</v>
      </c>
      <c r="J43">
        <v>0</v>
      </c>
      <c r="Q43" s="10" t="s">
        <v>219</v>
      </c>
      <c r="R43" s="11">
        <v>6</v>
      </c>
      <c r="S43" s="11">
        <v>5</v>
      </c>
      <c r="T43" s="11">
        <v>1</v>
      </c>
      <c r="U43" s="11">
        <v>9</v>
      </c>
      <c r="V43" s="11">
        <v>5</v>
      </c>
      <c r="W43" s="11">
        <v>3</v>
      </c>
      <c r="X43" s="11">
        <v>40</v>
      </c>
      <c r="Y43" s="11">
        <v>19</v>
      </c>
      <c r="Z43" s="11">
        <v>1000</v>
      </c>
    </row>
    <row r="44" spans="1:26" ht="15" thickBot="1" x14ac:dyDescent="0.35">
      <c r="A44" t="s">
        <v>87</v>
      </c>
      <c r="B44">
        <v>6</v>
      </c>
      <c r="C44">
        <v>3</v>
      </c>
      <c r="D44">
        <v>1</v>
      </c>
      <c r="E44">
        <v>7</v>
      </c>
      <c r="F44">
        <v>7</v>
      </c>
      <c r="G44">
        <v>4</v>
      </c>
      <c r="H44">
        <v>25</v>
      </c>
      <c r="I44">
        <v>24</v>
      </c>
      <c r="J44">
        <v>1000</v>
      </c>
      <c r="Q44" s="10" t="s">
        <v>220</v>
      </c>
      <c r="R44" s="11">
        <v>5</v>
      </c>
      <c r="S44" s="11">
        <v>1</v>
      </c>
      <c r="T44" s="11">
        <v>1</v>
      </c>
      <c r="U44" s="11">
        <v>1</v>
      </c>
      <c r="V44" s="11">
        <v>7</v>
      </c>
      <c r="W44" s="11">
        <v>4</v>
      </c>
      <c r="X44" s="11">
        <v>17</v>
      </c>
      <c r="Y44" s="11">
        <v>25</v>
      </c>
      <c r="Z44" s="11">
        <v>1000</v>
      </c>
    </row>
    <row r="45" spans="1:26" ht="15" thickBot="1" x14ac:dyDescent="0.35">
      <c r="A45" t="s">
        <v>89</v>
      </c>
      <c r="B45">
        <v>4</v>
      </c>
      <c r="C45">
        <v>2</v>
      </c>
      <c r="D45">
        <v>1</v>
      </c>
      <c r="E45">
        <v>2</v>
      </c>
      <c r="F45">
        <v>2</v>
      </c>
      <c r="G45">
        <v>4</v>
      </c>
      <c r="H45">
        <v>7</v>
      </c>
      <c r="I45">
        <v>43</v>
      </c>
      <c r="J45">
        <v>0</v>
      </c>
      <c r="Q45" s="10" t="s">
        <v>221</v>
      </c>
      <c r="R45" s="11">
        <v>5</v>
      </c>
      <c r="S45" s="11">
        <v>5</v>
      </c>
      <c r="T45" s="11">
        <v>1</v>
      </c>
      <c r="U45" s="11">
        <v>9</v>
      </c>
      <c r="V45" s="11">
        <v>7</v>
      </c>
      <c r="W45" s="11">
        <v>3</v>
      </c>
      <c r="X45" s="11">
        <v>4</v>
      </c>
      <c r="Y45" s="11">
        <v>47</v>
      </c>
      <c r="Z45" s="11">
        <v>1000</v>
      </c>
    </row>
    <row r="46" spans="1:26" ht="15" thickBot="1" x14ac:dyDescent="0.35">
      <c r="A46" t="s">
        <v>91</v>
      </c>
      <c r="B46">
        <v>4</v>
      </c>
      <c r="C46">
        <v>1</v>
      </c>
      <c r="D46">
        <v>1</v>
      </c>
      <c r="E46">
        <v>1</v>
      </c>
      <c r="F46">
        <v>1</v>
      </c>
      <c r="G46">
        <v>4</v>
      </c>
      <c r="H46">
        <v>2</v>
      </c>
      <c r="I46">
        <v>45</v>
      </c>
      <c r="J46">
        <v>1000</v>
      </c>
      <c r="Q46" s="10" t="s">
        <v>222</v>
      </c>
      <c r="R46" s="11">
        <v>1</v>
      </c>
      <c r="S46" s="11">
        <v>4</v>
      </c>
      <c r="T46" s="11">
        <v>1</v>
      </c>
      <c r="U46" s="11">
        <v>3</v>
      </c>
      <c r="V46" s="11">
        <v>4</v>
      </c>
      <c r="W46" s="11">
        <v>3</v>
      </c>
      <c r="X46" s="11">
        <v>5</v>
      </c>
      <c r="Y46" s="11">
        <v>41</v>
      </c>
      <c r="Z46" s="11">
        <v>0</v>
      </c>
    </row>
    <row r="47" spans="1:26" ht="15" thickBot="1" x14ac:dyDescent="0.35">
      <c r="A47" t="s">
        <v>93</v>
      </c>
      <c r="B47">
        <v>6</v>
      </c>
      <c r="C47">
        <v>2</v>
      </c>
      <c r="D47">
        <v>1</v>
      </c>
      <c r="E47">
        <v>5</v>
      </c>
      <c r="F47">
        <v>7</v>
      </c>
      <c r="G47">
        <v>3</v>
      </c>
      <c r="H47">
        <v>31</v>
      </c>
      <c r="I47">
        <v>32</v>
      </c>
      <c r="J47">
        <v>1000</v>
      </c>
      <c r="Q47" s="10" t="s">
        <v>223</v>
      </c>
      <c r="R47" s="11">
        <v>6</v>
      </c>
      <c r="S47" s="11">
        <v>1</v>
      </c>
      <c r="T47" s="11">
        <v>1</v>
      </c>
      <c r="U47" s="11">
        <v>1</v>
      </c>
      <c r="V47" s="11">
        <v>7</v>
      </c>
      <c r="W47" s="11">
        <v>4</v>
      </c>
      <c r="X47" s="11">
        <v>49</v>
      </c>
      <c r="Y47" s="11">
        <v>1</v>
      </c>
      <c r="Z47" s="11">
        <v>0</v>
      </c>
    </row>
    <row r="48" spans="1:26" ht="15" thickBot="1" x14ac:dyDescent="0.35">
      <c r="A48" t="s">
        <v>95</v>
      </c>
      <c r="B48">
        <v>6</v>
      </c>
      <c r="C48">
        <v>4</v>
      </c>
      <c r="D48">
        <v>1</v>
      </c>
      <c r="E48">
        <v>8</v>
      </c>
      <c r="F48">
        <v>7</v>
      </c>
      <c r="G48">
        <v>4</v>
      </c>
      <c r="H48">
        <v>21</v>
      </c>
      <c r="I48">
        <v>15</v>
      </c>
      <c r="J48">
        <v>1000</v>
      </c>
      <c r="Q48" s="10" t="s">
        <v>224</v>
      </c>
      <c r="R48" s="11">
        <v>6</v>
      </c>
      <c r="S48" s="11">
        <v>3</v>
      </c>
      <c r="T48" s="11">
        <v>1</v>
      </c>
      <c r="U48" s="11">
        <v>7</v>
      </c>
      <c r="V48" s="11">
        <v>7</v>
      </c>
      <c r="W48" s="11">
        <v>4</v>
      </c>
      <c r="X48" s="11">
        <v>25</v>
      </c>
      <c r="Y48" s="11">
        <v>24</v>
      </c>
      <c r="Z48" s="11">
        <v>1000</v>
      </c>
    </row>
    <row r="49" spans="1:26" ht="15" thickBot="1" x14ac:dyDescent="0.35">
      <c r="A49" t="s">
        <v>97</v>
      </c>
      <c r="B49">
        <v>4</v>
      </c>
      <c r="C49">
        <v>1</v>
      </c>
      <c r="D49">
        <v>1</v>
      </c>
      <c r="E49">
        <v>1</v>
      </c>
      <c r="F49">
        <v>6</v>
      </c>
      <c r="G49">
        <v>4</v>
      </c>
      <c r="H49">
        <v>34</v>
      </c>
      <c r="I49">
        <v>29</v>
      </c>
      <c r="J49">
        <v>0</v>
      </c>
      <c r="Q49" s="10" t="s">
        <v>225</v>
      </c>
      <c r="R49" s="11">
        <v>4</v>
      </c>
      <c r="S49" s="11">
        <v>2</v>
      </c>
      <c r="T49" s="11">
        <v>1</v>
      </c>
      <c r="U49" s="11">
        <v>2</v>
      </c>
      <c r="V49" s="11">
        <v>2</v>
      </c>
      <c r="W49" s="11">
        <v>4</v>
      </c>
      <c r="X49" s="11">
        <v>7</v>
      </c>
      <c r="Y49" s="11">
        <v>43</v>
      </c>
      <c r="Z49" s="11">
        <v>0</v>
      </c>
    </row>
    <row r="50" spans="1:26" ht="15" thickBot="1" x14ac:dyDescent="0.35">
      <c r="A50" t="s">
        <v>99</v>
      </c>
      <c r="B50">
        <v>5</v>
      </c>
      <c r="C50">
        <v>3</v>
      </c>
      <c r="D50">
        <v>1</v>
      </c>
      <c r="E50">
        <v>7</v>
      </c>
      <c r="F50">
        <v>7</v>
      </c>
      <c r="G50">
        <v>4</v>
      </c>
      <c r="H50">
        <v>10</v>
      </c>
      <c r="I50">
        <v>38</v>
      </c>
      <c r="J50">
        <v>1000</v>
      </c>
      <c r="Q50" s="10" t="s">
        <v>226</v>
      </c>
      <c r="R50" s="11">
        <v>4</v>
      </c>
      <c r="S50" s="11">
        <v>1</v>
      </c>
      <c r="T50" s="11">
        <v>1</v>
      </c>
      <c r="U50" s="11">
        <v>1</v>
      </c>
      <c r="V50" s="11">
        <v>1</v>
      </c>
      <c r="W50" s="11">
        <v>4</v>
      </c>
      <c r="X50" s="11">
        <v>2</v>
      </c>
      <c r="Y50" s="11">
        <v>45</v>
      </c>
      <c r="Z50" s="11">
        <v>1000</v>
      </c>
    </row>
    <row r="51" spans="1:26" ht="15" thickBot="1" x14ac:dyDescent="0.35">
      <c r="A51" t="s">
        <v>101</v>
      </c>
      <c r="B51">
        <v>6</v>
      </c>
      <c r="C51">
        <v>3</v>
      </c>
      <c r="D51">
        <v>1</v>
      </c>
      <c r="E51">
        <v>7</v>
      </c>
      <c r="F51">
        <v>7</v>
      </c>
      <c r="G51">
        <v>4</v>
      </c>
      <c r="H51">
        <v>13</v>
      </c>
      <c r="I51">
        <v>42</v>
      </c>
      <c r="J51">
        <v>1000</v>
      </c>
      <c r="Q51" s="10" t="s">
        <v>227</v>
      </c>
      <c r="R51" s="11">
        <v>6</v>
      </c>
      <c r="S51" s="11">
        <v>2</v>
      </c>
      <c r="T51" s="11">
        <v>1</v>
      </c>
      <c r="U51" s="11">
        <v>5</v>
      </c>
      <c r="V51" s="11">
        <v>7</v>
      </c>
      <c r="W51" s="11">
        <v>3</v>
      </c>
      <c r="X51" s="11">
        <v>31</v>
      </c>
      <c r="Y51" s="11">
        <v>32</v>
      </c>
      <c r="Z51" s="11">
        <v>1000</v>
      </c>
    </row>
    <row r="52" spans="1:26" ht="15" thickBot="1" x14ac:dyDescent="0.35">
      <c r="A52" t="s">
        <v>103</v>
      </c>
      <c r="B52">
        <v>3</v>
      </c>
      <c r="C52">
        <v>3</v>
      </c>
      <c r="D52">
        <v>1</v>
      </c>
      <c r="E52">
        <v>4</v>
      </c>
      <c r="F52">
        <v>5</v>
      </c>
      <c r="G52">
        <v>2</v>
      </c>
      <c r="H52">
        <v>24</v>
      </c>
      <c r="I52">
        <v>34</v>
      </c>
      <c r="J52">
        <v>0</v>
      </c>
      <c r="Q52" s="10" t="s">
        <v>228</v>
      </c>
      <c r="R52" s="11">
        <v>6</v>
      </c>
      <c r="S52" s="11">
        <v>4</v>
      </c>
      <c r="T52" s="11">
        <v>1</v>
      </c>
      <c r="U52" s="11">
        <v>8</v>
      </c>
      <c r="V52" s="11">
        <v>7</v>
      </c>
      <c r="W52" s="11">
        <v>4</v>
      </c>
      <c r="X52" s="11">
        <v>21</v>
      </c>
      <c r="Y52" s="11">
        <v>15</v>
      </c>
      <c r="Z52" s="11">
        <v>1000</v>
      </c>
    </row>
    <row r="53" spans="1:26" ht="15" thickBot="1" x14ac:dyDescent="0.35">
      <c r="A53" t="s">
        <v>105</v>
      </c>
      <c r="B53">
        <v>6</v>
      </c>
      <c r="C53">
        <v>3</v>
      </c>
      <c r="D53">
        <v>1</v>
      </c>
      <c r="E53">
        <v>7</v>
      </c>
      <c r="F53">
        <v>5</v>
      </c>
      <c r="G53">
        <v>3</v>
      </c>
      <c r="H53">
        <v>8</v>
      </c>
      <c r="I53">
        <v>48</v>
      </c>
      <c r="J53">
        <v>1000</v>
      </c>
      <c r="Q53" s="10" t="s">
        <v>229</v>
      </c>
      <c r="R53" s="11">
        <v>4</v>
      </c>
      <c r="S53" s="11">
        <v>1</v>
      </c>
      <c r="T53" s="11">
        <v>1</v>
      </c>
      <c r="U53" s="11">
        <v>1</v>
      </c>
      <c r="V53" s="11">
        <v>6</v>
      </c>
      <c r="W53" s="11">
        <v>4</v>
      </c>
      <c r="X53" s="11">
        <v>34</v>
      </c>
      <c r="Y53" s="11">
        <v>29</v>
      </c>
      <c r="Z53" s="11">
        <v>0</v>
      </c>
    </row>
    <row r="54" spans="1:26" ht="15" thickBot="1" x14ac:dyDescent="0.35">
      <c r="A54" t="s">
        <v>107</v>
      </c>
      <c r="B54">
        <v>4</v>
      </c>
      <c r="C54">
        <v>5</v>
      </c>
      <c r="D54">
        <v>1</v>
      </c>
      <c r="E54">
        <v>7</v>
      </c>
      <c r="F54">
        <v>4</v>
      </c>
      <c r="G54">
        <v>4</v>
      </c>
      <c r="H54">
        <v>3</v>
      </c>
      <c r="I54">
        <v>39</v>
      </c>
      <c r="J54">
        <v>0</v>
      </c>
      <c r="Q54" s="10" t="s">
        <v>230</v>
      </c>
      <c r="R54" s="11">
        <v>5</v>
      </c>
      <c r="S54" s="11">
        <v>3</v>
      </c>
      <c r="T54" s="11">
        <v>1</v>
      </c>
      <c r="U54" s="11">
        <v>7</v>
      </c>
      <c r="V54" s="11">
        <v>7</v>
      </c>
      <c r="W54" s="11">
        <v>4</v>
      </c>
      <c r="X54" s="11">
        <v>10</v>
      </c>
      <c r="Y54" s="11">
        <v>38</v>
      </c>
      <c r="Z54" s="11">
        <v>1000</v>
      </c>
    </row>
    <row r="55" spans="1:26" ht="15" thickBot="1" x14ac:dyDescent="0.35">
      <c r="A55" t="s">
        <v>109</v>
      </c>
      <c r="B55">
        <v>4</v>
      </c>
      <c r="C55">
        <v>1</v>
      </c>
      <c r="D55">
        <v>1</v>
      </c>
      <c r="E55">
        <v>1</v>
      </c>
      <c r="F55">
        <v>6</v>
      </c>
      <c r="G55">
        <v>4</v>
      </c>
      <c r="H55">
        <v>1</v>
      </c>
      <c r="I55">
        <v>49</v>
      </c>
      <c r="J55">
        <v>0</v>
      </c>
      <c r="Q55" s="10" t="s">
        <v>231</v>
      </c>
      <c r="R55" s="11">
        <v>6</v>
      </c>
      <c r="S55" s="11">
        <v>3</v>
      </c>
      <c r="T55" s="11">
        <v>1</v>
      </c>
      <c r="U55" s="11">
        <v>7</v>
      </c>
      <c r="V55" s="11">
        <v>7</v>
      </c>
      <c r="W55" s="11">
        <v>4</v>
      </c>
      <c r="X55" s="11">
        <v>13</v>
      </c>
      <c r="Y55" s="11">
        <v>42</v>
      </c>
      <c r="Z55" s="11">
        <v>1000</v>
      </c>
    </row>
    <row r="56" spans="1:26" ht="15" thickBot="1" x14ac:dyDescent="0.35">
      <c r="Q56" s="10" t="s">
        <v>232</v>
      </c>
      <c r="R56" s="11">
        <v>3</v>
      </c>
      <c r="S56" s="11">
        <v>3</v>
      </c>
      <c r="T56" s="11">
        <v>1</v>
      </c>
      <c r="U56" s="11">
        <v>4</v>
      </c>
      <c r="V56" s="11">
        <v>5</v>
      </c>
      <c r="W56" s="11">
        <v>2</v>
      </c>
      <c r="X56" s="11">
        <v>24</v>
      </c>
      <c r="Y56" s="11">
        <v>34</v>
      </c>
      <c r="Z56" s="11">
        <v>0</v>
      </c>
    </row>
    <row r="57" spans="1:26" ht="15" thickBot="1" x14ac:dyDescent="0.35">
      <c r="Q57" s="10" t="s">
        <v>233</v>
      </c>
      <c r="R57" s="11">
        <v>6</v>
      </c>
      <c r="S57" s="11">
        <v>3</v>
      </c>
      <c r="T57" s="11">
        <v>1</v>
      </c>
      <c r="U57" s="11">
        <v>7</v>
      </c>
      <c r="V57" s="11">
        <v>5</v>
      </c>
      <c r="W57" s="11">
        <v>3</v>
      </c>
      <c r="X57" s="11">
        <v>8</v>
      </c>
      <c r="Y57" s="11">
        <v>48</v>
      </c>
      <c r="Z57" s="11">
        <v>1000</v>
      </c>
    </row>
    <row r="58" spans="1:26" ht="15" thickBot="1" x14ac:dyDescent="0.35">
      <c r="A58" s="5" t="s">
        <v>161</v>
      </c>
      <c r="B58" s="5" t="s">
        <v>162</v>
      </c>
      <c r="C58" s="5" t="s">
        <v>163</v>
      </c>
      <c r="D58" s="5" t="s">
        <v>164</v>
      </c>
      <c r="Q58" s="10" t="s">
        <v>234</v>
      </c>
      <c r="R58" s="11">
        <v>4</v>
      </c>
      <c r="S58" s="11">
        <v>5</v>
      </c>
      <c r="T58" s="11">
        <v>1</v>
      </c>
      <c r="U58" s="11">
        <v>7</v>
      </c>
      <c r="V58" s="11">
        <v>4</v>
      </c>
      <c r="W58" s="11">
        <v>4</v>
      </c>
      <c r="X58" s="11">
        <v>3</v>
      </c>
      <c r="Y58" s="11">
        <v>39</v>
      </c>
      <c r="Z58" s="11">
        <v>0</v>
      </c>
    </row>
    <row r="59" spans="1:26" ht="15" thickBot="1" x14ac:dyDescent="0.35">
      <c r="A59" t="s">
        <v>3</v>
      </c>
      <c r="B59">
        <v>0.4667</v>
      </c>
      <c r="C59" t="s">
        <v>167</v>
      </c>
      <c r="D59" t="s">
        <v>168</v>
      </c>
      <c r="Q59" s="10" t="s">
        <v>235</v>
      </c>
      <c r="R59" s="11">
        <v>4</v>
      </c>
      <c r="S59" s="11">
        <v>1</v>
      </c>
      <c r="T59" s="11">
        <v>1</v>
      </c>
      <c r="U59" s="11">
        <v>1</v>
      </c>
      <c r="V59" s="11">
        <v>6</v>
      </c>
      <c r="W59" s="11">
        <v>4</v>
      </c>
      <c r="X59" s="11">
        <v>1</v>
      </c>
      <c r="Y59" s="11">
        <v>49</v>
      </c>
      <c r="Z59" s="11">
        <v>0</v>
      </c>
    </row>
    <row r="60" spans="1:26" ht="18.600000000000001" thickBot="1" x14ac:dyDescent="0.35">
      <c r="A60" t="s">
        <v>2</v>
      </c>
      <c r="B60">
        <v>0.28399999999999997</v>
      </c>
      <c r="C60" t="s">
        <v>167</v>
      </c>
      <c r="D60" t="s">
        <v>168</v>
      </c>
      <c r="Q60" s="6"/>
    </row>
    <row r="61" spans="1:26" ht="15" thickBot="1" x14ac:dyDescent="0.35">
      <c r="A61" t="s">
        <v>6</v>
      </c>
      <c r="C61" t="s">
        <v>165</v>
      </c>
      <c r="D61" t="s">
        <v>166</v>
      </c>
      <c r="Q61" s="10" t="s">
        <v>236</v>
      </c>
      <c r="R61" s="10" t="s">
        <v>177</v>
      </c>
      <c r="S61" s="10" t="s">
        <v>178</v>
      </c>
      <c r="T61" s="10" t="s">
        <v>179</v>
      </c>
      <c r="U61" s="10" t="s">
        <v>180</v>
      </c>
      <c r="V61" s="10" t="s">
        <v>181</v>
      </c>
      <c r="W61" s="10" t="s">
        <v>182</v>
      </c>
      <c r="X61" s="10" t="s">
        <v>183</v>
      </c>
      <c r="Y61" s="10" t="s">
        <v>184</v>
      </c>
    </row>
    <row r="62" spans="1:26" ht="15" thickBot="1" x14ac:dyDescent="0.35">
      <c r="A62" t="s">
        <v>8</v>
      </c>
      <c r="B62">
        <v>0.45269999999999999</v>
      </c>
      <c r="C62" t="s">
        <v>167</v>
      </c>
      <c r="D62" t="s">
        <v>168</v>
      </c>
      <c r="Q62" s="10" t="s">
        <v>237</v>
      </c>
      <c r="R62" s="11" t="s">
        <v>238</v>
      </c>
      <c r="S62" s="11" t="s">
        <v>238</v>
      </c>
      <c r="T62" s="11" t="s">
        <v>238</v>
      </c>
      <c r="U62" s="11" t="s">
        <v>238</v>
      </c>
      <c r="V62" s="11" t="s">
        <v>239</v>
      </c>
      <c r="W62" s="11" t="s">
        <v>238</v>
      </c>
      <c r="X62" s="11" t="s">
        <v>240</v>
      </c>
      <c r="Y62" s="11" t="s">
        <v>240</v>
      </c>
    </row>
    <row r="63" spans="1:26" ht="15" thickBot="1" x14ac:dyDescent="0.35">
      <c r="A63" t="s">
        <v>7</v>
      </c>
      <c r="B63">
        <v>0.18959999999999999</v>
      </c>
      <c r="C63" t="s">
        <v>167</v>
      </c>
      <c r="D63" t="s">
        <v>168</v>
      </c>
      <c r="Q63" s="10" t="s">
        <v>241</v>
      </c>
      <c r="R63" s="11" t="s">
        <v>238</v>
      </c>
      <c r="S63" s="11" t="s">
        <v>238</v>
      </c>
      <c r="T63" s="11" t="s">
        <v>238</v>
      </c>
      <c r="U63" s="11" t="s">
        <v>238</v>
      </c>
      <c r="V63" s="11" t="s">
        <v>238</v>
      </c>
      <c r="W63" s="11" t="s">
        <v>238</v>
      </c>
      <c r="X63" s="11" t="s">
        <v>240</v>
      </c>
      <c r="Y63" s="11" t="s">
        <v>240</v>
      </c>
    </row>
    <row r="64" spans="1:26" ht="15" thickBot="1" x14ac:dyDescent="0.35">
      <c r="A64" t="s">
        <v>4</v>
      </c>
      <c r="B64">
        <v>-9.3640000000000001E-2</v>
      </c>
      <c r="C64" t="s">
        <v>165</v>
      </c>
      <c r="D64" t="s">
        <v>166</v>
      </c>
      <c r="Q64" s="10" t="s">
        <v>242</v>
      </c>
      <c r="R64" s="11" t="s">
        <v>238</v>
      </c>
      <c r="S64" s="11" t="s">
        <v>238</v>
      </c>
      <c r="T64" s="11" t="s">
        <v>238</v>
      </c>
      <c r="U64" s="11" t="s">
        <v>238</v>
      </c>
      <c r="V64" s="11" t="s">
        <v>238</v>
      </c>
      <c r="W64" s="11" t="s">
        <v>238</v>
      </c>
      <c r="X64" s="11" t="s">
        <v>240</v>
      </c>
      <c r="Y64" s="11" t="s">
        <v>240</v>
      </c>
    </row>
    <row r="65" spans="1:25" ht="15" thickBot="1" x14ac:dyDescent="0.35">
      <c r="A65" t="s">
        <v>5</v>
      </c>
      <c r="B65">
        <v>-4.4170000000000001E-2</v>
      </c>
      <c r="C65" t="s">
        <v>165</v>
      </c>
      <c r="D65" t="s">
        <v>166</v>
      </c>
      <c r="Q65" s="10" t="s">
        <v>243</v>
      </c>
      <c r="R65" s="11" t="s">
        <v>238</v>
      </c>
      <c r="S65" s="11" t="s">
        <v>238</v>
      </c>
      <c r="T65" s="11" t="s">
        <v>238</v>
      </c>
      <c r="U65" s="11" t="s">
        <v>238</v>
      </c>
      <c r="V65" s="11" t="s">
        <v>238</v>
      </c>
      <c r="W65" s="11" t="s">
        <v>238</v>
      </c>
      <c r="X65" s="11" t="s">
        <v>240</v>
      </c>
      <c r="Y65" s="11" t="s">
        <v>240</v>
      </c>
    </row>
    <row r="66" spans="1:25" ht="15" thickBot="1" x14ac:dyDescent="0.35">
      <c r="A66" t="s">
        <v>9</v>
      </c>
      <c r="C66" t="s">
        <v>165</v>
      </c>
      <c r="D66" t="s">
        <v>166</v>
      </c>
      <c r="Q66" s="10" t="s">
        <v>244</v>
      </c>
      <c r="R66" s="11" t="s">
        <v>238</v>
      </c>
      <c r="S66" s="11" t="s">
        <v>238</v>
      </c>
      <c r="T66" s="11" t="s">
        <v>238</v>
      </c>
      <c r="U66" s="11" t="s">
        <v>238</v>
      </c>
      <c r="V66" s="11" t="s">
        <v>238</v>
      </c>
      <c r="W66" s="11" t="s">
        <v>238</v>
      </c>
      <c r="X66" s="11" t="s">
        <v>240</v>
      </c>
      <c r="Y66" s="11" t="s">
        <v>240</v>
      </c>
    </row>
    <row r="67" spans="1:25" ht="15" thickBot="1" x14ac:dyDescent="0.35">
      <c r="Q67" s="10" t="s">
        <v>245</v>
      </c>
      <c r="R67" s="11" t="s">
        <v>238</v>
      </c>
      <c r="S67" s="11" t="s">
        <v>238</v>
      </c>
      <c r="T67" s="11" t="s">
        <v>238</v>
      </c>
      <c r="U67" s="11" t="s">
        <v>238</v>
      </c>
      <c r="V67" s="11" t="s">
        <v>238</v>
      </c>
      <c r="W67" s="11" t="s">
        <v>238</v>
      </c>
      <c r="X67" s="11" t="s">
        <v>240</v>
      </c>
      <c r="Y67" s="11" t="s">
        <v>240</v>
      </c>
    </row>
    <row r="68" spans="1:25" ht="15" thickBot="1" x14ac:dyDescent="0.35">
      <c r="Q68" s="10" t="s">
        <v>246</v>
      </c>
      <c r="R68" s="11" t="s">
        <v>238</v>
      </c>
      <c r="S68" s="11" t="s">
        <v>238</v>
      </c>
      <c r="T68" s="11" t="s">
        <v>238</v>
      </c>
      <c r="U68" s="11" t="s">
        <v>238</v>
      </c>
      <c r="V68" s="11" t="s">
        <v>238</v>
      </c>
      <c r="W68" s="11" t="s">
        <v>238</v>
      </c>
      <c r="X68" s="11" t="s">
        <v>240</v>
      </c>
      <c r="Y68" s="11" t="s">
        <v>240</v>
      </c>
    </row>
    <row r="69" spans="1:25" ht="15" thickBot="1" x14ac:dyDescent="0.35">
      <c r="Q69" s="10" t="s">
        <v>247</v>
      </c>
      <c r="R69" s="11" t="s">
        <v>238</v>
      </c>
      <c r="S69" s="11" t="s">
        <v>238</v>
      </c>
      <c r="T69" s="11" t="s">
        <v>238</v>
      </c>
      <c r="U69" s="11" t="s">
        <v>238</v>
      </c>
      <c r="V69" s="11" t="s">
        <v>238</v>
      </c>
      <c r="W69" s="11" t="s">
        <v>238</v>
      </c>
      <c r="X69" s="11" t="s">
        <v>240</v>
      </c>
      <c r="Y69" s="11" t="s">
        <v>240</v>
      </c>
    </row>
    <row r="70" spans="1:25" ht="15" thickBot="1" x14ac:dyDescent="0.35">
      <c r="Q70" s="10" t="s">
        <v>248</v>
      </c>
      <c r="R70" s="11" t="s">
        <v>238</v>
      </c>
      <c r="S70" s="11" t="s">
        <v>238</v>
      </c>
      <c r="T70" s="11" t="s">
        <v>238</v>
      </c>
      <c r="U70" s="11" t="s">
        <v>238</v>
      </c>
      <c r="V70" s="11" t="s">
        <v>238</v>
      </c>
      <c r="W70" s="11" t="s">
        <v>238</v>
      </c>
      <c r="X70" s="11" t="s">
        <v>240</v>
      </c>
      <c r="Y70" s="11" t="s">
        <v>240</v>
      </c>
    </row>
    <row r="71" spans="1:25" ht="15" thickBot="1" x14ac:dyDescent="0.35">
      <c r="Q71" s="10" t="s">
        <v>249</v>
      </c>
      <c r="R71" s="11" t="s">
        <v>238</v>
      </c>
      <c r="S71" s="11" t="s">
        <v>238</v>
      </c>
      <c r="T71" s="11" t="s">
        <v>238</v>
      </c>
      <c r="U71" s="11" t="s">
        <v>238</v>
      </c>
      <c r="V71" s="11" t="s">
        <v>238</v>
      </c>
      <c r="W71" s="11" t="s">
        <v>238</v>
      </c>
      <c r="X71" s="11" t="s">
        <v>240</v>
      </c>
      <c r="Y71" s="11" t="s">
        <v>240</v>
      </c>
    </row>
    <row r="72" spans="1:25" ht="15" thickBot="1" x14ac:dyDescent="0.35">
      <c r="Q72" s="10" t="s">
        <v>250</v>
      </c>
      <c r="R72" s="11" t="s">
        <v>238</v>
      </c>
      <c r="S72" s="11" t="s">
        <v>238</v>
      </c>
      <c r="T72" s="11" t="s">
        <v>238</v>
      </c>
      <c r="U72" s="11" t="s">
        <v>238</v>
      </c>
      <c r="V72" s="11" t="s">
        <v>238</v>
      </c>
      <c r="W72" s="11" t="s">
        <v>238</v>
      </c>
      <c r="X72" s="11" t="s">
        <v>240</v>
      </c>
      <c r="Y72" s="11" t="s">
        <v>240</v>
      </c>
    </row>
    <row r="73" spans="1:25" ht="15" thickBot="1" x14ac:dyDescent="0.35">
      <c r="Q73" s="10" t="s">
        <v>251</v>
      </c>
      <c r="R73" s="11" t="s">
        <v>238</v>
      </c>
      <c r="S73" s="11" t="s">
        <v>238</v>
      </c>
      <c r="T73" s="11" t="s">
        <v>238</v>
      </c>
      <c r="U73" s="11" t="s">
        <v>238</v>
      </c>
      <c r="V73" s="11" t="s">
        <v>238</v>
      </c>
      <c r="W73" s="11" t="s">
        <v>238</v>
      </c>
      <c r="X73" s="11" t="s">
        <v>240</v>
      </c>
      <c r="Y73" s="11" t="s">
        <v>240</v>
      </c>
    </row>
    <row r="74" spans="1:25" ht="15" thickBot="1" x14ac:dyDescent="0.35">
      <c r="Q74" s="10" t="s">
        <v>252</v>
      </c>
      <c r="R74" s="11" t="s">
        <v>238</v>
      </c>
      <c r="S74" s="11" t="s">
        <v>238</v>
      </c>
      <c r="T74" s="11" t="s">
        <v>238</v>
      </c>
      <c r="U74" s="11" t="s">
        <v>238</v>
      </c>
      <c r="V74" s="11" t="s">
        <v>238</v>
      </c>
      <c r="W74" s="11" t="s">
        <v>238</v>
      </c>
      <c r="X74" s="11" t="s">
        <v>240</v>
      </c>
      <c r="Y74" s="11" t="s">
        <v>240</v>
      </c>
    </row>
    <row r="75" spans="1:25" ht="15" thickBot="1" x14ac:dyDescent="0.35">
      <c r="Q75" s="10" t="s">
        <v>253</v>
      </c>
      <c r="R75" s="11" t="s">
        <v>238</v>
      </c>
      <c r="S75" s="11" t="s">
        <v>238</v>
      </c>
      <c r="T75" s="11" t="s">
        <v>238</v>
      </c>
      <c r="U75" s="11" t="s">
        <v>238</v>
      </c>
      <c r="V75" s="11" t="s">
        <v>238</v>
      </c>
      <c r="W75" s="11" t="s">
        <v>238</v>
      </c>
      <c r="X75" s="11" t="s">
        <v>238</v>
      </c>
      <c r="Y75" s="11" t="s">
        <v>240</v>
      </c>
    </row>
    <row r="76" spans="1:25" ht="15" thickBot="1" x14ac:dyDescent="0.35">
      <c r="Q76" s="10" t="s">
        <v>254</v>
      </c>
      <c r="R76" s="11" t="s">
        <v>238</v>
      </c>
      <c r="S76" s="11" t="s">
        <v>238</v>
      </c>
      <c r="T76" s="11" t="s">
        <v>238</v>
      </c>
      <c r="U76" s="11" t="s">
        <v>238</v>
      </c>
      <c r="V76" s="11" t="s">
        <v>238</v>
      </c>
      <c r="W76" s="11" t="s">
        <v>238</v>
      </c>
      <c r="X76" s="11" t="s">
        <v>238</v>
      </c>
      <c r="Y76" s="11" t="s">
        <v>240</v>
      </c>
    </row>
    <row r="77" spans="1:25" ht="15" thickBot="1" x14ac:dyDescent="0.35">
      <c r="Q77" s="10" t="s">
        <v>255</v>
      </c>
      <c r="R77" s="11" t="s">
        <v>238</v>
      </c>
      <c r="S77" s="11" t="s">
        <v>238</v>
      </c>
      <c r="T77" s="11" t="s">
        <v>238</v>
      </c>
      <c r="U77" s="11" t="s">
        <v>238</v>
      </c>
      <c r="V77" s="11" t="s">
        <v>238</v>
      </c>
      <c r="W77" s="11" t="s">
        <v>238</v>
      </c>
      <c r="X77" s="11" t="s">
        <v>238</v>
      </c>
      <c r="Y77" s="11" t="s">
        <v>240</v>
      </c>
    </row>
    <row r="78" spans="1:25" ht="15" thickBot="1" x14ac:dyDescent="0.35">
      <c r="Q78" s="10" t="s">
        <v>256</v>
      </c>
      <c r="R78" s="11" t="s">
        <v>238</v>
      </c>
      <c r="S78" s="11" t="s">
        <v>238</v>
      </c>
      <c r="T78" s="11" t="s">
        <v>238</v>
      </c>
      <c r="U78" s="11" t="s">
        <v>238</v>
      </c>
      <c r="V78" s="11" t="s">
        <v>238</v>
      </c>
      <c r="W78" s="11" t="s">
        <v>238</v>
      </c>
      <c r="X78" s="11" t="s">
        <v>238</v>
      </c>
      <c r="Y78" s="11" t="s">
        <v>240</v>
      </c>
    </row>
    <row r="79" spans="1:25" ht="15" thickBot="1" x14ac:dyDescent="0.35">
      <c r="Q79" s="10" t="s">
        <v>257</v>
      </c>
      <c r="R79" s="11" t="s">
        <v>238</v>
      </c>
      <c r="S79" s="11" t="s">
        <v>238</v>
      </c>
      <c r="T79" s="11" t="s">
        <v>238</v>
      </c>
      <c r="U79" s="11" t="s">
        <v>238</v>
      </c>
      <c r="V79" s="11" t="s">
        <v>238</v>
      </c>
      <c r="W79" s="11" t="s">
        <v>238</v>
      </c>
      <c r="X79" s="11" t="s">
        <v>238</v>
      </c>
      <c r="Y79" s="11" t="s">
        <v>240</v>
      </c>
    </row>
    <row r="80" spans="1:25" ht="15" thickBot="1" x14ac:dyDescent="0.35">
      <c r="Q80" s="10" t="s">
        <v>258</v>
      </c>
      <c r="R80" s="11" t="s">
        <v>238</v>
      </c>
      <c r="S80" s="11" t="s">
        <v>238</v>
      </c>
      <c r="T80" s="11" t="s">
        <v>238</v>
      </c>
      <c r="U80" s="11" t="s">
        <v>238</v>
      </c>
      <c r="V80" s="11" t="s">
        <v>238</v>
      </c>
      <c r="W80" s="11" t="s">
        <v>238</v>
      </c>
      <c r="X80" s="11" t="s">
        <v>238</v>
      </c>
      <c r="Y80" s="11" t="s">
        <v>240</v>
      </c>
    </row>
    <row r="81" spans="17:25" ht="15" thickBot="1" x14ac:dyDescent="0.35">
      <c r="Q81" s="10" t="s">
        <v>259</v>
      </c>
      <c r="R81" s="11" t="s">
        <v>238</v>
      </c>
      <c r="S81" s="11" t="s">
        <v>238</v>
      </c>
      <c r="T81" s="11" t="s">
        <v>238</v>
      </c>
      <c r="U81" s="11" t="s">
        <v>238</v>
      </c>
      <c r="V81" s="11" t="s">
        <v>238</v>
      </c>
      <c r="W81" s="11" t="s">
        <v>238</v>
      </c>
      <c r="X81" s="11" t="s">
        <v>238</v>
      </c>
      <c r="Y81" s="11" t="s">
        <v>240</v>
      </c>
    </row>
    <row r="82" spans="17:25" ht="15" thickBot="1" x14ac:dyDescent="0.35">
      <c r="Q82" s="10" t="s">
        <v>260</v>
      </c>
      <c r="R82" s="11" t="s">
        <v>238</v>
      </c>
      <c r="S82" s="11" t="s">
        <v>238</v>
      </c>
      <c r="T82" s="11" t="s">
        <v>238</v>
      </c>
      <c r="U82" s="11" t="s">
        <v>238</v>
      </c>
      <c r="V82" s="11" t="s">
        <v>238</v>
      </c>
      <c r="W82" s="11" t="s">
        <v>238</v>
      </c>
      <c r="X82" s="11" t="s">
        <v>238</v>
      </c>
      <c r="Y82" s="11" t="s">
        <v>240</v>
      </c>
    </row>
    <row r="83" spans="17:25" ht="15" thickBot="1" x14ac:dyDescent="0.35">
      <c r="Q83" s="10" t="s">
        <v>261</v>
      </c>
      <c r="R83" s="11" t="s">
        <v>238</v>
      </c>
      <c r="S83" s="11" t="s">
        <v>238</v>
      </c>
      <c r="T83" s="11" t="s">
        <v>238</v>
      </c>
      <c r="U83" s="11" t="s">
        <v>238</v>
      </c>
      <c r="V83" s="11" t="s">
        <v>238</v>
      </c>
      <c r="W83" s="11" t="s">
        <v>238</v>
      </c>
      <c r="X83" s="11" t="s">
        <v>238</v>
      </c>
      <c r="Y83" s="11" t="s">
        <v>240</v>
      </c>
    </row>
    <row r="84" spans="17:25" ht="15" thickBot="1" x14ac:dyDescent="0.35">
      <c r="Q84" s="10" t="s">
        <v>262</v>
      </c>
      <c r="R84" s="11" t="s">
        <v>238</v>
      </c>
      <c r="S84" s="11" t="s">
        <v>238</v>
      </c>
      <c r="T84" s="11" t="s">
        <v>238</v>
      </c>
      <c r="U84" s="11" t="s">
        <v>238</v>
      </c>
      <c r="V84" s="11" t="s">
        <v>238</v>
      </c>
      <c r="W84" s="11" t="s">
        <v>238</v>
      </c>
      <c r="X84" s="11" t="s">
        <v>238</v>
      </c>
      <c r="Y84" s="11" t="s">
        <v>240</v>
      </c>
    </row>
    <row r="85" spans="17:25" ht="15" thickBot="1" x14ac:dyDescent="0.35">
      <c r="Q85" s="10" t="s">
        <v>263</v>
      </c>
      <c r="R85" s="11" t="s">
        <v>238</v>
      </c>
      <c r="S85" s="11" t="s">
        <v>238</v>
      </c>
      <c r="T85" s="11" t="s">
        <v>238</v>
      </c>
      <c r="U85" s="11" t="s">
        <v>238</v>
      </c>
      <c r="V85" s="11" t="s">
        <v>238</v>
      </c>
      <c r="W85" s="11" t="s">
        <v>238</v>
      </c>
      <c r="X85" s="11" t="s">
        <v>238</v>
      </c>
      <c r="Y85" s="11" t="s">
        <v>240</v>
      </c>
    </row>
    <row r="86" spans="17:25" ht="15" thickBot="1" x14ac:dyDescent="0.35">
      <c r="Q86" s="10" t="s">
        <v>264</v>
      </c>
      <c r="R86" s="11" t="s">
        <v>238</v>
      </c>
      <c r="S86" s="11" t="s">
        <v>238</v>
      </c>
      <c r="T86" s="11" t="s">
        <v>238</v>
      </c>
      <c r="U86" s="11" t="s">
        <v>238</v>
      </c>
      <c r="V86" s="11" t="s">
        <v>238</v>
      </c>
      <c r="W86" s="11" t="s">
        <v>238</v>
      </c>
      <c r="X86" s="11" t="s">
        <v>238</v>
      </c>
      <c r="Y86" s="11" t="s">
        <v>240</v>
      </c>
    </row>
    <row r="87" spans="17:25" ht="15" thickBot="1" x14ac:dyDescent="0.35">
      <c r="Q87" s="10" t="s">
        <v>265</v>
      </c>
      <c r="R87" s="11" t="s">
        <v>238</v>
      </c>
      <c r="S87" s="11" t="s">
        <v>238</v>
      </c>
      <c r="T87" s="11" t="s">
        <v>238</v>
      </c>
      <c r="U87" s="11" t="s">
        <v>238</v>
      </c>
      <c r="V87" s="11" t="s">
        <v>238</v>
      </c>
      <c r="W87" s="11" t="s">
        <v>238</v>
      </c>
      <c r="X87" s="11" t="s">
        <v>238</v>
      </c>
      <c r="Y87" s="11" t="s">
        <v>240</v>
      </c>
    </row>
    <row r="88" spans="17:25" ht="15" thickBot="1" x14ac:dyDescent="0.35">
      <c r="Q88" s="10" t="s">
        <v>266</v>
      </c>
      <c r="R88" s="11" t="s">
        <v>238</v>
      </c>
      <c r="S88" s="11" t="s">
        <v>238</v>
      </c>
      <c r="T88" s="11" t="s">
        <v>238</v>
      </c>
      <c r="U88" s="11" t="s">
        <v>238</v>
      </c>
      <c r="V88" s="11" t="s">
        <v>238</v>
      </c>
      <c r="W88" s="11" t="s">
        <v>238</v>
      </c>
      <c r="X88" s="11" t="s">
        <v>238</v>
      </c>
      <c r="Y88" s="11" t="s">
        <v>240</v>
      </c>
    </row>
    <row r="89" spans="17:25" ht="15" thickBot="1" x14ac:dyDescent="0.35">
      <c r="Q89" s="10" t="s">
        <v>267</v>
      </c>
      <c r="R89" s="11" t="s">
        <v>238</v>
      </c>
      <c r="S89" s="11" t="s">
        <v>238</v>
      </c>
      <c r="T89" s="11" t="s">
        <v>238</v>
      </c>
      <c r="U89" s="11" t="s">
        <v>238</v>
      </c>
      <c r="V89" s="11" t="s">
        <v>238</v>
      </c>
      <c r="W89" s="11" t="s">
        <v>238</v>
      </c>
      <c r="X89" s="11" t="s">
        <v>238</v>
      </c>
      <c r="Y89" s="11" t="s">
        <v>240</v>
      </c>
    </row>
    <row r="90" spans="17:25" ht="15" thickBot="1" x14ac:dyDescent="0.35">
      <c r="Q90" s="10" t="s">
        <v>268</v>
      </c>
      <c r="R90" s="11" t="s">
        <v>238</v>
      </c>
      <c r="S90" s="11" t="s">
        <v>238</v>
      </c>
      <c r="T90" s="11" t="s">
        <v>238</v>
      </c>
      <c r="U90" s="11" t="s">
        <v>238</v>
      </c>
      <c r="V90" s="11" t="s">
        <v>238</v>
      </c>
      <c r="W90" s="11" t="s">
        <v>238</v>
      </c>
      <c r="X90" s="11" t="s">
        <v>238</v>
      </c>
      <c r="Y90" s="11" t="s">
        <v>240</v>
      </c>
    </row>
    <row r="91" spans="17:25" ht="15" thickBot="1" x14ac:dyDescent="0.35">
      <c r="Q91" s="10" t="s">
        <v>269</v>
      </c>
      <c r="R91" s="11" t="s">
        <v>238</v>
      </c>
      <c r="S91" s="11" t="s">
        <v>238</v>
      </c>
      <c r="T91" s="11" t="s">
        <v>238</v>
      </c>
      <c r="U91" s="11" t="s">
        <v>238</v>
      </c>
      <c r="V91" s="11" t="s">
        <v>238</v>
      </c>
      <c r="W91" s="11" t="s">
        <v>238</v>
      </c>
      <c r="X91" s="11" t="s">
        <v>238</v>
      </c>
      <c r="Y91" s="11" t="s">
        <v>240</v>
      </c>
    </row>
    <row r="92" spans="17:25" ht="15" thickBot="1" x14ac:dyDescent="0.35">
      <c r="Q92" s="10" t="s">
        <v>270</v>
      </c>
      <c r="R92" s="11" t="s">
        <v>238</v>
      </c>
      <c r="S92" s="11" t="s">
        <v>238</v>
      </c>
      <c r="T92" s="11" t="s">
        <v>238</v>
      </c>
      <c r="U92" s="11" t="s">
        <v>238</v>
      </c>
      <c r="V92" s="11" t="s">
        <v>238</v>
      </c>
      <c r="W92" s="11" t="s">
        <v>238</v>
      </c>
      <c r="X92" s="11" t="s">
        <v>238</v>
      </c>
      <c r="Y92" s="11" t="s">
        <v>240</v>
      </c>
    </row>
    <row r="93" spans="17:25" ht="15" thickBot="1" x14ac:dyDescent="0.35">
      <c r="Q93" s="10" t="s">
        <v>271</v>
      </c>
      <c r="R93" s="11" t="s">
        <v>238</v>
      </c>
      <c r="S93" s="11" t="s">
        <v>238</v>
      </c>
      <c r="T93" s="11" t="s">
        <v>238</v>
      </c>
      <c r="U93" s="11" t="s">
        <v>238</v>
      </c>
      <c r="V93" s="11" t="s">
        <v>238</v>
      </c>
      <c r="W93" s="11" t="s">
        <v>238</v>
      </c>
      <c r="X93" s="11" t="s">
        <v>238</v>
      </c>
      <c r="Y93" s="11" t="s">
        <v>240</v>
      </c>
    </row>
    <row r="94" spans="17:25" ht="15" thickBot="1" x14ac:dyDescent="0.35">
      <c r="Q94" s="10" t="s">
        <v>272</v>
      </c>
      <c r="R94" s="11" t="s">
        <v>238</v>
      </c>
      <c r="S94" s="11" t="s">
        <v>238</v>
      </c>
      <c r="T94" s="11" t="s">
        <v>238</v>
      </c>
      <c r="U94" s="11" t="s">
        <v>238</v>
      </c>
      <c r="V94" s="11" t="s">
        <v>238</v>
      </c>
      <c r="W94" s="11" t="s">
        <v>238</v>
      </c>
      <c r="X94" s="11" t="s">
        <v>238</v>
      </c>
      <c r="Y94" s="11" t="s">
        <v>238</v>
      </c>
    </row>
    <row r="95" spans="17:25" ht="15" thickBot="1" x14ac:dyDescent="0.35">
      <c r="Q95" s="10" t="s">
        <v>273</v>
      </c>
      <c r="R95" s="11" t="s">
        <v>238</v>
      </c>
      <c r="S95" s="11" t="s">
        <v>238</v>
      </c>
      <c r="T95" s="11" t="s">
        <v>238</v>
      </c>
      <c r="U95" s="11" t="s">
        <v>238</v>
      </c>
      <c r="V95" s="11" t="s">
        <v>238</v>
      </c>
      <c r="W95" s="11" t="s">
        <v>238</v>
      </c>
      <c r="X95" s="11" t="s">
        <v>238</v>
      </c>
      <c r="Y95" s="11" t="s">
        <v>238</v>
      </c>
    </row>
    <row r="96" spans="17:25" ht="15" thickBot="1" x14ac:dyDescent="0.35">
      <c r="Q96" s="10" t="s">
        <v>274</v>
      </c>
      <c r="R96" s="11" t="s">
        <v>238</v>
      </c>
      <c r="S96" s="11" t="s">
        <v>238</v>
      </c>
      <c r="T96" s="11" t="s">
        <v>238</v>
      </c>
      <c r="U96" s="11" t="s">
        <v>238</v>
      </c>
      <c r="V96" s="11" t="s">
        <v>238</v>
      </c>
      <c r="W96" s="11" t="s">
        <v>238</v>
      </c>
      <c r="X96" s="11" t="s">
        <v>238</v>
      </c>
      <c r="Y96" s="11" t="s">
        <v>238</v>
      </c>
    </row>
    <row r="97" spans="17:25" ht="15" thickBot="1" x14ac:dyDescent="0.35">
      <c r="Q97" s="10" t="s">
        <v>275</v>
      </c>
      <c r="R97" s="11" t="s">
        <v>238</v>
      </c>
      <c r="S97" s="11" t="s">
        <v>238</v>
      </c>
      <c r="T97" s="11" t="s">
        <v>238</v>
      </c>
      <c r="U97" s="11" t="s">
        <v>238</v>
      </c>
      <c r="V97" s="11" t="s">
        <v>238</v>
      </c>
      <c r="W97" s="11" t="s">
        <v>238</v>
      </c>
      <c r="X97" s="11" t="s">
        <v>238</v>
      </c>
      <c r="Y97" s="11" t="s">
        <v>238</v>
      </c>
    </row>
    <row r="98" spans="17:25" ht="15" thickBot="1" x14ac:dyDescent="0.35">
      <c r="Q98" s="10" t="s">
        <v>276</v>
      </c>
      <c r="R98" s="11" t="s">
        <v>238</v>
      </c>
      <c r="S98" s="11" t="s">
        <v>238</v>
      </c>
      <c r="T98" s="11" t="s">
        <v>238</v>
      </c>
      <c r="U98" s="11" t="s">
        <v>238</v>
      </c>
      <c r="V98" s="11" t="s">
        <v>238</v>
      </c>
      <c r="W98" s="11" t="s">
        <v>238</v>
      </c>
      <c r="X98" s="11" t="s">
        <v>238</v>
      </c>
      <c r="Y98" s="11" t="s">
        <v>238</v>
      </c>
    </row>
    <row r="99" spans="17:25" ht="15" thickBot="1" x14ac:dyDescent="0.35">
      <c r="Q99" s="10" t="s">
        <v>277</v>
      </c>
      <c r="R99" s="11" t="s">
        <v>238</v>
      </c>
      <c r="S99" s="11" t="s">
        <v>238</v>
      </c>
      <c r="T99" s="11" t="s">
        <v>238</v>
      </c>
      <c r="U99" s="11" t="s">
        <v>238</v>
      </c>
      <c r="V99" s="11" t="s">
        <v>238</v>
      </c>
      <c r="W99" s="11" t="s">
        <v>238</v>
      </c>
      <c r="X99" s="11" t="s">
        <v>238</v>
      </c>
      <c r="Y99" s="11" t="s">
        <v>238</v>
      </c>
    </row>
    <row r="100" spans="17:25" ht="15" thickBot="1" x14ac:dyDescent="0.35">
      <c r="Q100" s="10" t="s">
        <v>278</v>
      </c>
      <c r="R100" s="11" t="s">
        <v>238</v>
      </c>
      <c r="S100" s="11" t="s">
        <v>238</v>
      </c>
      <c r="T100" s="11" t="s">
        <v>238</v>
      </c>
      <c r="U100" s="11" t="s">
        <v>238</v>
      </c>
      <c r="V100" s="11" t="s">
        <v>238</v>
      </c>
      <c r="W100" s="11" t="s">
        <v>238</v>
      </c>
      <c r="X100" s="11" t="s">
        <v>238</v>
      </c>
      <c r="Y100" s="11" t="s">
        <v>238</v>
      </c>
    </row>
    <row r="101" spans="17:25" ht="15" thickBot="1" x14ac:dyDescent="0.35">
      <c r="Q101" s="10" t="s">
        <v>279</v>
      </c>
      <c r="R101" s="11" t="s">
        <v>238</v>
      </c>
      <c r="S101" s="11" t="s">
        <v>238</v>
      </c>
      <c r="T101" s="11" t="s">
        <v>238</v>
      </c>
      <c r="U101" s="11" t="s">
        <v>238</v>
      </c>
      <c r="V101" s="11" t="s">
        <v>238</v>
      </c>
      <c r="W101" s="11" t="s">
        <v>238</v>
      </c>
      <c r="X101" s="11" t="s">
        <v>238</v>
      </c>
      <c r="Y101" s="11" t="s">
        <v>238</v>
      </c>
    </row>
    <row r="102" spans="17:25" ht="15" thickBot="1" x14ac:dyDescent="0.35">
      <c r="Q102" s="10" t="s">
        <v>280</v>
      </c>
      <c r="R102" s="11" t="s">
        <v>238</v>
      </c>
      <c r="S102" s="11" t="s">
        <v>238</v>
      </c>
      <c r="T102" s="11" t="s">
        <v>238</v>
      </c>
      <c r="U102" s="11" t="s">
        <v>238</v>
      </c>
      <c r="V102" s="11" t="s">
        <v>238</v>
      </c>
      <c r="W102" s="11" t="s">
        <v>238</v>
      </c>
      <c r="X102" s="11" t="s">
        <v>238</v>
      </c>
      <c r="Y102" s="11" t="s">
        <v>238</v>
      </c>
    </row>
    <row r="103" spans="17:25" ht="15" thickBot="1" x14ac:dyDescent="0.35">
      <c r="Q103" s="10" t="s">
        <v>281</v>
      </c>
      <c r="R103" s="11" t="s">
        <v>238</v>
      </c>
      <c r="S103" s="11" t="s">
        <v>238</v>
      </c>
      <c r="T103" s="11" t="s">
        <v>238</v>
      </c>
      <c r="U103" s="11" t="s">
        <v>238</v>
      </c>
      <c r="V103" s="11" t="s">
        <v>238</v>
      </c>
      <c r="W103" s="11" t="s">
        <v>238</v>
      </c>
      <c r="X103" s="11" t="s">
        <v>238</v>
      </c>
      <c r="Y103" s="11" t="s">
        <v>238</v>
      </c>
    </row>
    <row r="104" spans="17:25" ht="15" thickBot="1" x14ac:dyDescent="0.35">
      <c r="Q104" s="10" t="s">
        <v>282</v>
      </c>
      <c r="R104" s="11" t="s">
        <v>238</v>
      </c>
      <c r="S104" s="11" t="s">
        <v>238</v>
      </c>
      <c r="T104" s="11" t="s">
        <v>238</v>
      </c>
      <c r="U104" s="11" t="s">
        <v>238</v>
      </c>
      <c r="V104" s="11" t="s">
        <v>238</v>
      </c>
      <c r="W104" s="11" t="s">
        <v>238</v>
      </c>
      <c r="X104" s="11" t="s">
        <v>238</v>
      </c>
      <c r="Y104" s="11" t="s">
        <v>238</v>
      </c>
    </row>
    <row r="105" spans="17:25" ht="15" thickBot="1" x14ac:dyDescent="0.35">
      <c r="Q105" s="10" t="s">
        <v>283</v>
      </c>
      <c r="R105" s="11" t="s">
        <v>238</v>
      </c>
      <c r="S105" s="11" t="s">
        <v>238</v>
      </c>
      <c r="T105" s="11" t="s">
        <v>238</v>
      </c>
      <c r="U105" s="11" t="s">
        <v>238</v>
      </c>
      <c r="V105" s="11" t="s">
        <v>238</v>
      </c>
      <c r="W105" s="11" t="s">
        <v>238</v>
      </c>
      <c r="X105" s="11" t="s">
        <v>238</v>
      </c>
      <c r="Y105" s="11" t="s">
        <v>238</v>
      </c>
    </row>
    <row r="106" spans="17:25" ht="15" thickBot="1" x14ac:dyDescent="0.35">
      <c r="Q106" s="10" t="s">
        <v>284</v>
      </c>
      <c r="R106" s="11" t="s">
        <v>238</v>
      </c>
      <c r="S106" s="11" t="s">
        <v>238</v>
      </c>
      <c r="T106" s="11" t="s">
        <v>238</v>
      </c>
      <c r="U106" s="11" t="s">
        <v>238</v>
      </c>
      <c r="V106" s="11" t="s">
        <v>238</v>
      </c>
      <c r="W106" s="11" t="s">
        <v>238</v>
      </c>
      <c r="X106" s="11" t="s">
        <v>238</v>
      </c>
      <c r="Y106" s="11" t="s">
        <v>238</v>
      </c>
    </row>
    <row r="107" spans="17:25" ht="15" thickBot="1" x14ac:dyDescent="0.35">
      <c r="Q107" s="10" t="s">
        <v>285</v>
      </c>
      <c r="R107" s="11" t="s">
        <v>238</v>
      </c>
      <c r="S107" s="11" t="s">
        <v>238</v>
      </c>
      <c r="T107" s="11" t="s">
        <v>238</v>
      </c>
      <c r="U107" s="11" t="s">
        <v>238</v>
      </c>
      <c r="V107" s="11" t="s">
        <v>238</v>
      </c>
      <c r="W107" s="11" t="s">
        <v>238</v>
      </c>
      <c r="X107" s="11" t="s">
        <v>238</v>
      </c>
      <c r="Y107" s="11" t="s">
        <v>238</v>
      </c>
    </row>
    <row r="108" spans="17:25" ht="15" thickBot="1" x14ac:dyDescent="0.35">
      <c r="Q108" s="10" t="s">
        <v>286</v>
      </c>
      <c r="R108" s="11" t="s">
        <v>238</v>
      </c>
      <c r="S108" s="11" t="s">
        <v>238</v>
      </c>
      <c r="T108" s="11" t="s">
        <v>238</v>
      </c>
      <c r="U108" s="11" t="s">
        <v>238</v>
      </c>
      <c r="V108" s="11" t="s">
        <v>238</v>
      </c>
      <c r="W108" s="11" t="s">
        <v>238</v>
      </c>
      <c r="X108" s="11" t="s">
        <v>238</v>
      </c>
      <c r="Y108" s="11" t="s">
        <v>238</v>
      </c>
    </row>
    <row r="109" spans="17:25" ht="15" thickBot="1" x14ac:dyDescent="0.35">
      <c r="Q109" s="10" t="s">
        <v>287</v>
      </c>
      <c r="R109" s="11" t="s">
        <v>238</v>
      </c>
      <c r="S109" s="11" t="s">
        <v>238</v>
      </c>
      <c r="T109" s="11" t="s">
        <v>238</v>
      </c>
      <c r="U109" s="11" t="s">
        <v>238</v>
      </c>
      <c r="V109" s="11" t="s">
        <v>238</v>
      </c>
      <c r="W109" s="11" t="s">
        <v>238</v>
      </c>
      <c r="X109" s="11" t="s">
        <v>238</v>
      </c>
      <c r="Y109" s="11" t="s">
        <v>238</v>
      </c>
    </row>
    <row r="110" spans="17:25" ht="15" thickBot="1" x14ac:dyDescent="0.35">
      <c r="Q110" s="10" t="s">
        <v>288</v>
      </c>
      <c r="R110" s="11" t="s">
        <v>238</v>
      </c>
      <c r="S110" s="11" t="s">
        <v>238</v>
      </c>
      <c r="T110" s="11" t="s">
        <v>238</v>
      </c>
      <c r="U110" s="11" t="s">
        <v>238</v>
      </c>
      <c r="V110" s="11" t="s">
        <v>238</v>
      </c>
      <c r="W110" s="11" t="s">
        <v>238</v>
      </c>
      <c r="X110" s="11" t="s">
        <v>238</v>
      </c>
      <c r="Y110" s="11" t="s">
        <v>238</v>
      </c>
    </row>
    <row r="111" spans="17:25" ht="15" thickBot="1" x14ac:dyDescent="0.35">
      <c r="Q111" s="10" t="s">
        <v>289</v>
      </c>
      <c r="R111" s="11" t="s">
        <v>238</v>
      </c>
      <c r="S111" s="11" t="s">
        <v>238</v>
      </c>
      <c r="T111" s="11" t="s">
        <v>238</v>
      </c>
      <c r="U111" s="11" t="s">
        <v>238</v>
      </c>
      <c r="V111" s="11" t="s">
        <v>238</v>
      </c>
      <c r="W111" s="11" t="s">
        <v>238</v>
      </c>
      <c r="X111" s="11" t="s">
        <v>238</v>
      </c>
      <c r="Y111" s="11" t="s">
        <v>238</v>
      </c>
    </row>
    <row r="112" spans="17:25" ht="18.600000000000001" thickBot="1" x14ac:dyDescent="0.35">
      <c r="Q112" s="6"/>
    </row>
    <row r="113" spans="17:25" ht="15" thickBot="1" x14ac:dyDescent="0.35">
      <c r="Q113" s="10" t="s">
        <v>290</v>
      </c>
      <c r="R113" s="10" t="s">
        <v>177</v>
      </c>
      <c r="S113" s="10" t="s">
        <v>178</v>
      </c>
      <c r="T113" s="10" t="s">
        <v>179</v>
      </c>
      <c r="U113" s="10" t="s">
        <v>180</v>
      </c>
      <c r="V113" s="10" t="s">
        <v>181</v>
      </c>
      <c r="W113" s="10" t="s">
        <v>182</v>
      </c>
      <c r="X113" s="10" t="s">
        <v>183</v>
      </c>
      <c r="Y113" s="10" t="s">
        <v>184</v>
      </c>
    </row>
    <row r="114" spans="17:25" ht="15" thickBot="1" x14ac:dyDescent="0.35">
      <c r="Q114" s="10" t="s">
        <v>237</v>
      </c>
      <c r="R114" s="11">
        <v>0</v>
      </c>
      <c r="S114" s="11">
        <v>0</v>
      </c>
      <c r="T114" s="11">
        <v>0</v>
      </c>
      <c r="U114" s="11">
        <v>0</v>
      </c>
      <c r="V114" s="11">
        <v>531.9</v>
      </c>
      <c r="W114" s="11">
        <v>0</v>
      </c>
      <c r="X114" s="11">
        <v>531.9</v>
      </c>
      <c r="Y114" s="11">
        <v>531.9</v>
      </c>
    </row>
    <row r="115" spans="17:25" ht="15" thickBot="1" x14ac:dyDescent="0.35">
      <c r="Q115" s="10" t="s">
        <v>241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531.9</v>
      </c>
      <c r="Y115" s="11">
        <v>531.9</v>
      </c>
    </row>
    <row r="116" spans="17:25" ht="15" thickBot="1" x14ac:dyDescent="0.35">
      <c r="Q116" s="10" t="s">
        <v>242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531.9</v>
      </c>
      <c r="Y116" s="11">
        <v>531.9</v>
      </c>
    </row>
    <row r="117" spans="17:25" ht="15" thickBot="1" x14ac:dyDescent="0.35">
      <c r="Q117" s="10" t="s">
        <v>243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531.9</v>
      </c>
      <c r="Y117" s="11">
        <v>531.9</v>
      </c>
    </row>
    <row r="118" spans="17:25" ht="15" thickBot="1" x14ac:dyDescent="0.35">
      <c r="Q118" s="10" t="s">
        <v>244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531.9</v>
      </c>
      <c r="Y118" s="11">
        <v>531.9</v>
      </c>
    </row>
    <row r="119" spans="17:25" ht="15" thickBot="1" x14ac:dyDescent="0.35">
      <c r="Q119" s="10" t="s">
        <v>245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531.9</v>
      </c>
      <c r="Y119" s="11">
        <v>531.9</v>
      </c>
    </row>
    <row r="120" spans="17:25" ht="15" thickBot="1" x14ac:dyDescent="0.35">
      <c r="Q120" s="10" t="s">
        <v>246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531.9</v>
      </c>
      <c r="Y120" s="11">
        <v>531.9</v>
      </c>
    </row>
    <row r="121" spans="17:25" ht="15" thickBot="1" x14ac:dyDescent="0.35">
      <c r="Q121" s="10" t="s">
        <v>247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531.9</v>
      </c>
      <c r="Y121" s="11">
        <v>531.9</v>
      </c>
    </row>
    <row r="122" spans="17:25" ht="15" thickBot="1" x14ac:dyDescent="0.35">
      <c r="Q122" s="10" t="s">
        <v>248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531.9</v>
      </c>
      <c r="Y122" s="11">
        <v>531.9</v>
      </c>
    </row>
    <row r="123" spans="17:25" ht="15" thickBot="1" x14ac:dyDescent="0.35">
      <c r="Q123" s="10" t="s">
        <v>249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531.9</v>
      </c>
      <c r="Y123" s="11">
        <v>531.9</v>
      </c>
    </row>
    <row r="124" spans="17:25" ht="15" thickBot="1" x14ac:dyDescent="0.35">
      <c r="Q124" s="10" t="s">
        <v>250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531.9</v>
      </c>
      <c r="Y124" s="11">
        <v>531.9</v>
      </c>
    </row>
    <row r="125" spans="17:25" ht="15" thickBot="1" x14ac:dyDescent="0.35">
      <c r="Q125" s="10" t="s">
        <v>251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531.9</v>
      </c>
      <c r="Y125" s="11">
        <v>531.9</v>
      </c>
    </row>
    <row r="126" spans="17:25" ht="15" thickBot="1" x14ac:dyDescent="0.35">
      <c r="Q126" s="10" t="s">
        <v>252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531.9</v>
      </c>
      <c r="Y126" s="11">
        <v>531.9</v>
      </c>
    </row>
    <row r="127" spans="17:25" ht="15" thickBot="1" x14ac:dyDescent="0.35">
      <c r="Q127" s="10" t="s">
        <v>253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531.9</v>
      </c>
    </row>
    <row r="128" spans="17:25" ht="15" thickBot="1" x14ac:dyDescent="0.35">
      <c r="Q128" s="10" t="s">
        <v>254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531.9</v>
      </c>
    </row>
    <row r="129" spans="17:25" ht="15" thickBot="1" x14ac:dyDescent="0.35">
      <c r="Q129" s="10" t="s">
        <v>255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531.9</v>
      </c>
    </row>
    <row r="130" spans="17:25" ht="15" thickBot="1" x14ac:dyDescent="0.35">
      <c r="Q130" s="10" t="s">
        <v>256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531.9</v>
      </c>
    </row>
    <row r="131" spans="17:25" ht="15" thickBot="1" x14ac:dyDescent="0.35">
      <c r="Q131" s="10" t="s">
        <v>257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531.9</v>
      </c>
    </row>
    <row r="132" spans="17:25" ht="15" thickBot="1" x14ac:dyDescent="0.35">
      <c r="Q132" s="10" t="s">
        <v>258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531.9</v>
      </c>
    </row>
    <row r="133" spans="17:25" ht="15" thickBot="1" x14ac:dyDescent="0.35">
      <c r="Q133" s="10" t="s">
        <v>259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531.9</v>
      </c>
    </row>
    <row r="134" spans="17:25" ht="15" thickBot="1" x14ac:dyDescent="0.35">
      <c r="Q134" s="10" t="s">
        <v>260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531.9</v>
      </c>
    </row>
    <row r="135" spans="17:25" ht="15" thickBot="1" x14ac:dyDescent="0.35">
      <c r="Q135" s="10" t="s">
        <v>261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531.9</v>
      </c>
    </row>
    <row r="136" spans="17:25" ht="15" thickBot="1" x14ac:dyDescent="0.35">
      <c r="Q136" s="10" t="s">
        <v>262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531.9</v>
      </c>
    </row>
    <row r="137" spans="17:25" ht="15" thickBot="1" x14ac:dyDescent="0.35">
      <c r="Q137" s="10" t="s">
        <v>263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531.9</v>
      </c>
    </row>
    <row r="138" spans="17:25" ht="15" thickBot="1" x14ac:dyDescent="0.35">
      <c r="Q138" s="10" t="s">
        <v>264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531.9</v>
      </c>
    </row>
    <row r="139" spans="17:25" ht="15" thickBot="1" x14ac:dyDescent="0.35">
      <c r="Q139" s="10" t="s">
        <v>265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531.9</v>
      </c>
    </row>
    <row r="140" spans="17:25" ht="15" thickBot="1" x14ac:dyDescent="0.35">
      <c r="Q140" s="10" t="s">
        <v>266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531.9</v>
      </c>
    </row>
    <row r="141" spans="17:25" ht="15" thickBot="1" x14ac:dyDescent="0.35">
      <c r="Q141" s="10" t="s">
        <v>267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531.9</v>
      </c>
    </row>
    <row r="142" spans="17:25" ht="15" thickBot="1" x14ac:dyDescent="0.35">
      <c r="Q142" s="10" t="s">
        <v>268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531.9</v>
      </c>
    </row>
    <row r="143" spans="17:25" ht="15" thickBot="1" x14ac:dyDescent="0.35">
      <c r="Q143" s="10" t="s">
        <v>269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531.9</v>
      </c>
    </row>
    <row r="144" spans="17:25" ht="15" thickBot="1" x14ac:dyDescent="0.35">
      <c r="Q144" s="10" t="s">
        <v>270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531.9</v>
      </c>
    </row>
    <row r="145" spans="17:25" ht="15" thickBot="1" x14ac:dyDescent="0.35">
      <c r="Q145" s="10" t="s">
        <v>271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531.9</v>
      </c>
    </row>
    <row r="146" spans="17:25" ht="15" thickBot="1" x14ac:dyDescent="0.35">
      <c r="Q146" s="10" t="s">
        <v>272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</row>
    <row r="147" spans="17:25" ht="15" thickBot="1" x14ac:dyDescent="0.35">
      <c r="Q147" s="10" t="s">
        <v>273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</row>
    <row r="148" spans="17:25" ht="15" thickBot="1" x14ac:dyDescent="0.35">
      <c r="Q148" s="10" t="s">
        <v>274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</row>
    <row r="149" spans="17:25" ht="15" thickBot="1" x14ac:dyDescent="0.35">
      <c r="Q149" s="10" t="s">
        <v>275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</row>
    <row r="150" spans="17:25" ht="15" thickBot="1" x14ac:dyDescent="0.35">
      <c r="Q150" s="10" t="s">
        <v>276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</row>
    <row r="151" spans="17:25" ht="15" thickBot="1" x14ac:dyDescent="0.35">
      <c r="Q151" s="10" t="s">
        <v>277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</row>
    <row r="152" spans="17:25" ht="15" thickBot="1" x14ac:dyDescent="0.35">
      <c r="Q152" s="10" t="s">
        <v>278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</row>
    <row r="153" spans="17:25" ht="15" thickBot="1" x14ac:dyDescent="0.35">
      <c r="Q153" s="10" t="s">
        <v>279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</row>
    <row r="154" spans="17:25" ht="15" thickBot="1" x14ac:dyDescent="0.35">
      <c r="Q154" s="10" t="s">
        <v>280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</row>
    <row r="155" spans="17:25" ht="15" thickBot="1" x14ac:dyDescent="0.35">
      <c r="Q155" s="10" t="s">
        <v>281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</row>
    <row r="156" spans="17:25" ht="15" thickBot="1" x14ac:dyDescent="0.35">
      <c r="Q156" s="10" t="s">
        <v>282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</row>
    <row r="157" spans="17:25" ht="15" thickBot="1" x14ac:dyDescent="0.35">
      <c r="Q157" s="10" t="s">
        <v>283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</row>
    <row r="158" spans="17:25" ht="15" thickBot="1" x14ac:dyDescent="0.35">
      <c r="Q158" s="10" t="s">
        <v>284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</row>
    <row r="159" spans="17:25" ht="15" thickBot="1" x14ac:dyDescent="0.35">
      <c r="Q159" s="10" t="s">
        <v>285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</row>
    <row r="160" spans="17:25" ht="15" thickBot="1" x14ac:dyDescent="0.35">
      <c r="Q160" s="10" t="s">
        <v>286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</row>
    <row r="161" spans="17:29" ht="15" thickBot="1" x14ac:dyDescent="0.35">
      <c r="Q161" s="10" t="s">
        <v>287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</row>
    <row r="162" spans="17:29" ht="15" thickBot="1" x14ac:dyDescent="0.35">
      <c r="Q162" s="10" t="s">
        <v>288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</row>
    <row r="163" spans="17:29" ht="15" thickBot="1" x14ac:dyDescent="0.35">
      <c r="Q163" s="10" t="s">
        <v>289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</row>
    <row r="164" spans="17:29" ht="18.600000000000001" thickBot="1" x14ac:dyDescent="0.35">
      <c r="Q164" s="6"/>
    </row>
    <row r="165" spans="17:29" ht="15" thickBot="1" x14ac:dyDescent="0.35">
      <c r="Q165" s="10" t="s">
        <v>291</v>
      </c>
      <c r="R165" s="10" t="s">
        <v>177</v>
      </c>
      <c r="S165" s="10" t="s">
        <v>178</v>
      </c>
      <c r="T165" s="10" t="s">
        <v>179</v>
      </c>
      <c r="U165" s="10" t="s">
        <v>180</v>
      </c>
      <c r="V165" s="10" t="s">
        <v>181</v>
      </c>
      <c r="W165" s="10" t="s">
        <v>182</v>
      </c>
      <c r="X165" s="10" t="s">
        <v>183</v>
      </c>
      <c r="Y165" s="10" t="s">
        <v>184</v>
      </c>
      <c r="Z165" s="10" t="s">
        <v>292</v>
      </c>
      <c r="AA165" s="10" t="s">
        <v>293</v>
      </c>
      <c r="AB165" s="10" t="s">
        <v>294</v>
      </c>
      <c r="AC165" s="10" t="s">
        <v>295</v>
      </c>
    </row>
    <row r="166" spans="17:29" ht="15" thickBot="1" x14ac:dyDescent="0.35">
      <c r="Q166" s="10" t="s">
        <v>186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531.9</v>
      </c>
      <c r="Z166" s="11">
        <v>531.9</v>
      </c>
      <c r="AA166" s="11">
        <v>1000</v>
      </c>
      <c r="AB166" s="11">
        <v>468.1</v>
      </c>
      <c r="AC166" s="11">
        <v>46.81</v>
      </c>
    </row>
    <row r="167" spans="17:29" ht="15" thickBot="1" x14ac:dyDescent="0.35">
      <c r="Q167" s="10" t="s">
        <v>187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531.9</v>
      </c>
      <c r="Z167" s="11">
        <v>531.9</v>
      </c>
      <c r="AA167" s="11">
        <v>0</v>
      </c>
      <c r="AB167" s="11">
        <v>-531.9</v>
      </c>
      <c r="AC167" s="11">
        <v>0</v>
      </c>
    </row>
    <row r="168" spans="17:29" ht="15" thickBot="1" x14ac:dyDescent="0.35">
      <c r="Q168" s="10" t="s">
        <v>188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531.9</v>
      </c>
      <c r="Z168" s="11">
        <v>531.9</v>
      </c>
      <c r="AA168" s="11">
        <v>0</v>
      </c>
      <c r="AB168" s="11">
        <v>-531.9</v>
      </c>
      <c r="AC168" s="11">
        <v>0</v>
      </c>
    </row>
    <row r="169" spans="17:29" ht="15" thickBot="1" x14ac:dyDescent="0.35">
      <c r="Q169" s="10" t="s">
        <v>189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531.9</v>
      </c>
      <c r="Z169" s="11">
        <v>531.9</v>
      </c>
      <c r="AA169" s="11">
        <v>0</v>
      </c>
      <c r="AB169" s="11">
        <v>-531.9</v>
      </c>
      <c r="AC169" s="11">
        <v>0</v>
      </c>
    </row>
    <row r="170" spans="17:29" ht="15" thickBot="1" x14ac:dyDescent="0.35">
      <c r="Q170" s="10" t="s">
        <v>190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531.9</v>
      </c>
      <c r="Z170" s="11">
        <v>531.9</v>
      </c>
      <c r="AA170" s="11">
        <v>1000</v>
      </c>
      <c r="AB170" s="11">
        <v>468.1</v>
      </c>
      <c r="AC170" s="11">
        <v>46.81</v>
      </c>
    </row>
    <row r="171" spans="17:29" ht="15" thickBot="1" x14ac:dyDescent="0.35">
      <c r="Q171" s="10" t="s">
        <v>191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531.9</v>
      </c>
      <c r="Z171" s="11">
        <v>531.9</v>
      </c>
      <c r="AA171" s="11">
        <v>0</v>
      </c>
      <c r="AB171" s="11">
        <v>-531.9</v>
      </c>
      <c r="AC171" s="11">
        <v>0</v>
      </c>
    </row>
    <row r="172" spans="17:29" ht="15" thickBot="1" x14ac:dyDescent="0.35">
      <c r="Q172" s="10" t="s">
        <v>192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531.9</v>
      </c>
      <c r="Z172" s="11">
        <v>531.9</v>
      </c>
      <c r="AA172" s="11">
        <v>0</v>
      </c>
      <c r="AB172" s="11">
        <v>-531.9</v>
      </c>
      <c r="AC172" s="11">
        <v>0</v>
      </c>
    </row>
    <row r="173" spans="17:29" ht="15" thickBot="1" x14ac:dyDescent="0.35">
      <c r="Q173" s="10" t="s">
        <v>193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</row>
    <row r="174" spans="17:29" ht="15" thickBot="1" x14ac:dyDescent="0.35">
      <c r="Q174" s="10" t="s">
        <v>194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531.9</v>
      </c>
      <c r="Z174" s="11">
        <v>531.9</v>
      </c>
      <c r="AA174" s="11">
        <v>0</v>
      </c>
      <c r="AB174" s="11">
        <v>-531.9</v>
      </c>
      <c r="AC174" s="11">
        <v>0</v>
      </c>
    </row>
    <row r="175" spans="17:29" ht="15" thickBot="1" x14ac:dyDescent="0.35">
      <c r="Q175" s="10" t="s">
        <v>195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531.9</v>
      </c>
      <c r="Z175" s="11">
        <v>531.9</v>
      </c>
      <c r="AA175" s="11">
        <v>1000</v>
      </c>
      <c r="AB175" s="11">
        <v>468.1</v>
      </c>
      <c r="AC175" s="11">
        <v>46.81</v>
      </c>
    </row>
    <row r="176" spans="17:29" ht="15" thickBot="1" x14ac:dyDescent="0.35">
      <c r="Q176" s="10" t="s">
        <v>196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531.9</v>
      </c>
      <c r="Y176" s="11">
        <v>0</v>
      </c>
      <c r="Z176" s="11">
        <v>531.9</v>
      </c>
      <c r="AA176" s="11">
        <v>1000</v>
      </c>
      <c r="AB176" s="11">
        <v>468.1</v>
      </c>
      <c r="AC176" s="11">
        <v>46.81</v>
      </c>
    </row>
    <row r="177" spans="17:29" ht="15" thickBot="1" x14ac:dyDescent="0.35">
      <c r="Q177" s="10" t="s">
        <v>197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531.9</v>
      </c>
      <c r="Z177" s="11">
        <v>531.9</v>
      </c>
      <c r="AA177" s="11">
        <v>1000</v>
      </c>
      <c r="AB177" s="11">
        <v>468.1</v>
      </c>
      <c r="AC177" s="11">
        <v>46.81</v>
      </c>
    </row>
    <row r="178" spans="17:29" ht="15" thickBot="1" x14ac:dyDescent="0.35">
      <c r="Q178" s="10" t="s">
        <v>198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531.9</v>
      </c>
      <c r="Z178" s="11">
        <v>531.9</v>
      </c>
      <c r="AA178" s="11">
        <v>0</v>
      </c>
      <c r="AB178" s="11">
        <v>-531.9</v>
      </c>
      <c r="AC178" s="11">
        <v>0</v>
      </c>
    </row>
    <row r="179" spans="17:29" ht="15" thickBot="1" x14ac:dyDescent="0.35">
      <c r="Q179" s="10" t="s">
        <v>199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531.9</v>
      </c>
      <c r="Z179" s="11">
        <v>531.9</v>
      </c>
      <c r="AA179" s="11">
        <v>1000</v>
      </c>
      <c r="AB179" s="11">
        <v>468.1</v>
      </c>
      <c r="AC179" s="11">
        <v>46.81</v>
      </c>
    </row>
    <row r="180" spans="17:29" ht="15" thickBot="1" x14ac:dyDescent="0.35">
      <c r="Q180" s="10" t="s">
        <v>200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531.9</v>
      </c>
      <c r="Z180" s="11">
        <v>531.9</v>
      </c>
      <c r="AA180" s="11">
        <v>1000</v>
      </c>
      <c r="AB180" s="11">
        <v>468.1</v>
      </c>
      <c r="AC180" s="11">
        <v>46.81</v>
      </c>
    </row>
    <row r="181" spans="17:29" ht="15" thickBot="1" x14ac:dyDescent="0.35">
      <c r="Q181" s="10" t="s">
        <v>201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531.9</v>
      </c>
      <c r="Z181" s="11">
        <v>531.9</v>
      </c>
      <c r="AA181" s="11">
        <v>1000</v>
      </c>
      <c r="AB181" s="11">
        <v>468.1</v>
      </c>
      <c r="AC181" s="11">
        <v>46.81</v>
      </c>
    </row>
    <row r="182" spans="17:29" ht="15" thickBot="1" x14ac:dyDescent="0.35">
      <c r="Q182" s="10" t="s">
        <v>202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</row>
    <row r="183" spans="17:29" ht="15" thickBot="1" x14ac:dyDescent="0.35">
      <c r="Q183" s="10" t="s">
        <v>203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531.9</v>
      </c>
      <c r="Z183" s="11">
        <v>531.9</v>
      </c>
      <c r="AA183" s="11">
        <v>0</v>
      </c>
      <c r="AB183" s="11">
        <v>-531.9</v>
      </c>
      <c r="AC183" s="11">
        <v>0</v>
      </c>
    </row>
    <row r="184" spans="17:29" ht="15" thickBot="1" x14ac:dyDescent="0.35">
      <c r="Q184" s="10" t="s">
        <v>204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531.9</v>
      </c>
      <c r="Z184" s="11">
        <v>531.9</v>
      </c>
      <c r="AA184" s="11">
        <v>0</v>
      </c>
      <c r="AB184" s="11">
        <v>-531.9</v>
      </c>
      <c r="AC184" s="11">
        <v>0</v>
      </c>
    </row>
    <row r="185" spans="17:29" ht="15" thickBot="1" x14ac:dyDescent="0.35">
      <c r="Q185" s="10" t="s">
        <v>205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531.9</v>
      </c>
      <c r="Z185" s="11">
        <v>531.9</v>
      </c>
      <c r="AA185" s="11">
        <v>1000</v>
      </c>
      <c r="AB185" s="11">
        <v>468.1</v>
      </c>
      <c r="AC185" s="11">
        <v>46.81</v>
      </c>
    </row>
    <row r="186" spans="17:29" ht="15" thickBot="1" x14ac:dyDescent="0.35">
      <c r="Q186" s="10" t="s">
        <v>206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531.9</v>
      </c>
      <c r="Z186" s="11">
        <v>531.9</v>
      </c>
      <c r="AA186" s="11">
        <v>1000</v>
      </c>
      <c r="AB186" s="11">
        <v>468.1</v>
      </c>
      <c r="AC186" s="11">
        <v>46.81</v>
      </c>
    </row>
    <row r="187" spans="17:29" ht="15" thickBot="1" x14ac:dyDescent="0.35">
      <c r="Q187" s="10" t="s">
        <v>207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531.9</v>
      </c>
      <c r="Z187" s="11">
        <v>531.9</v>
      </c>
      <c r="AA187" s="11">
        <v>1000</v>
      </c>
      <c r="AB187" s="11">
        <v>468.1</v>
      </c>
      <c r="AC187" s="11">
        <v>46.81</v>
      </c>
    </row>
    <row r="188" spans="17:29" ht="15" thickBot="1" x14ac:dyDescent="0.35">
      <c r="Q188" s="10" t="s">
        <v>208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531.9</v>
      </c>
      <c r="Y188" s="11">
        <v>0</v>
      </c>
      <c r="Z188" s="11">
        <v>531.9</v>
      </c>
      <c r="AA188" s="11">
        <v>1000</v>
      </c>
      <c r="AB188" s="11">
        <v>468.1</v>
      </c>
      <c r="AC188" s="11">
        <v>46.81</v>
      </c>
    </row>
    <row r="189" spans="17:29" ht="15" thickBot="1" x14ac:dyDescent="0.35">
      <c r="Q189" s="10" t="s">
        <v>209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531.9</v>
      </c>
      <c r="Y189" s="11">
        <v>0</v>
      </c>
      <c r="Z189" s="11">
        <v>531.9</v>
      </c>
      <c r="AA189" s="11">
        <v>0</v>
      </c>
      <c r="AB189" s="11">
        <v>-531.9</v>
      </c>
      <c r="AC189" s="11">
        <v>0</v>
      </c>
    </row>
    <row r="190" spans="17:29" ht="15" thickBot="1" x14ac:dyDescent="0.35">
      <c r="Q190" s="10" t="s">
        <v>210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531.9</v>
      </c>
      <c r="Z190" s="11">
        <v>531.9</v>
      </c>
      <c r="AA190" s="11">
        <v>0</v>
      </c>
      <c r="AB190" s="11">
        <v>-531.9</v>
      </c>
      <c r="AC190" s="11">
        <v>0</v>
      </c>
    </row>
    <row r="191" spans="17:29" ht="15" thickBot="1" x14ac:dyDescent="0.35">
      <c r="Q191" s="10" t="s">
        <v>211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531.9</v>
      </c>
      <c r="Z191" s="11">
        <v>531.9</v>
      </c>
      <c r="AA191" s="11">
        <v>1000</v>
      </c>
      <c r="AB191" s="11">
        <v>468.1</v>
      </c>
      <c r="AC191" s="11">
        <v>46.81</v>
      </c>
    </row>
    <row r="192" spans="17:29" ht="15" thickBot="1" x14ac:dyDescent="0.35">
      <c r="Q192" s="10" t="s">
        <v>212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531.9</v>
      </c>
      <c r="Z192" s="11">
        <v>531.9</v>
      </c>
      <c r="AA192" s="11">
        <v>0</v>
      </c>
      <c r="AB192" s="11">
        <v>-531.9</v>
      </c>
      <c r="AC192" s="11">
        <v>0</v>
      </c>
    </row>
    <row r="193" spans="17:29" ht="15" thickBot="1" x14ac:dyDescent="0.35">
      <c r="Q193" s="10" t="s">
        <v>213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531.9</v>
      </c>
      <c r="Z193" s="11">
        <v>531.9</v>
      </c>
      <c r="AA193" s="11">
        <v>0</v>
      </c>
      <c r="AB193" s="11">
        <v>-531.9</v>
      </c>
      <c r="AC193" s="11">
        <v>0</v>
      </c>
    </row>
    <row r="194" spans="17:29" ht="15" thickBot="1" x14ac:dyDescent="0.35">
      <c r="Q194" s="10" t="s">
        <v>214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531.9</v>
      </c>
      <c r="Z194" s="11">
        <v>531.9</v>
      </c>
      <c r="AA194" s="11">
        <v>0</v>
      </c>
      <c r="AB194" s="11">
        <v>-531.9</v>
      </c>
      <c r="AC194" s="11">
        <v>0</v>
      </c>
    </row>
    <row r="195" spans="17:29" ht="15" thickBot="1" x14ac:dyDescent="0.35">
      <c r="Q195" s="10" t="s">
        <v>215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531.9</v>
      </c>
      <c r="Z195" s="11">
        <v>531.9</v>
      </c>
      <c r="AA195" s="11">
        <v>1000</v>
      </c>
      <c r="AB195" s="11">
        <v>468.1</v>
      </c>
      <c r="AC195" s="11">
        <v>46.81</v>
      </c>
    </row>
    <row r="196" spans="17:29" ht="15" thickBot="1" x14ac:dyDescent="0.35">
      <c r="Q196" s="10" t="s">
        <v>216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531.9</v>
      </c>
      <c r="Z196" s="11">
        <v>531.9</v>
      </c>
      <c r="AA196" s="11">
        <v>0</v>
      </c>
      <c r="AB196" s="11">
        <v>-531.9</v>
      </c>
      <c r="AC196" s="11">
        <v>0</v>
      </c>
    </row>
    <row r="197" spans="17:29" ht="15" thickBot="1" x14ac:dyDescent="0.35">
      <c r="Q197" s="10" t="s">
        <v>217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531.9</v>
      </c>
      <c r="Y197" s="11">
        <v>0</v>
      </c>
      <c r="Z197" s="11">
        <v>531.9</v>
      </c>
      <c r="AA197" s="11">
        <v>1000</v>
      </c>
      <c r="AB197" s="11">
        <v>468.1</v>
      </c>
      <c r="AC197" s="11">
        <v>46.81</v>
      </c>
    </row>
    <row r="198" spans="17:29" ht="15" thickBot="1" x14ac:dyDescent="0.35">
      <c r="Q198" s="10" t="s">
        <v>218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</row>
    <row r="199" spans="17:29" ht="15" thickBot="1" x14ac:dyDescent="0.35">
      <c r="Q199" s="10" t="s">
        <v>219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531.9</v>
      </c>
      <c r="Z199" s="11">
        <v>531.9</v>
      </c>
      <c r="AA199" s="11">
        <v>1000</v>
      </c>
      <c r="AB199" s="11">
        <v>468.1</v>
      </c>
      <c r="AC199" s="11">
        <v>46.81</v>
      </c>
    </row>
    <row r="200" spans="17:29" ht="15" thickBot="1" x14ac:dyDescent="0.35">
      <c r="Q200" s="10" t="s">
        <v>220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531.9</v>
      </c>
      <c r="Z200" s="11">
        <v>531.9</v>
      </c>
      <c r="AA200" s="11">
        <v>1000</v>
      </c>
      <c r="AB200" s="11">
        <v>468.1</v>
      </c>
      <c r="AC200" s="11">
        <v>46.81</v>
      </c>
    </row>
    <row r="201" spans="17:29" ht="15" thickBot="1" x14ac:dyDescent="0.35">
      <c r="Q201" s="10" t="s">
        <v>221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531.9</v>
      </c>
      <c r="Y201" s="11">
        <v>0</v>
      </c>
      <c r="Z201" s="11">
        <v>531.9</v>
      </c>
      <c r="AA201" s="11">
        <v>1000</v>
      </c>
      <c r="AB201" s="11">
        <v>468.1</v>
      </c>
      <c r="AC201" s="11">
        <v>46.81</v>
      </c>
    </row>
    <row r="202" spans="17:29" ht="15" thickBot="1" x14ac:dyDescent="0.35">
      <c r="Q202" s="10" t="s">
        <v>222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531.9</v>
      </c>
      <c r="Y202" s="11">
        <v>0</v>
      </c>
      <c r="Z202" s="11">
        <v>531.9</v>
      </c>
      <c r="AA202" s="11">
        <v>0</v>
      </c>
      <c r="AB202" s="11">
        <v>-531.9</v>
      </c>
      <c r="AC202" s="11">
        <v>0</v>
      </c>
    </row>
    <row r="203" spans="17:29" ht="15" thickBot="1" x14ac:dyDescent="0.35">
      <c r="Q203" s="10" t="s">
        <v>223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531.9</v>
      </c>
      <c r="Z203" s="11">
        <v>531.9</v>
      </c>
      <c r="AA203" s="11">
        <v>0</v>
      </c>
      <c r="AB203" s="11">
        <v>-531.9</v>
      </c>
      <c r="AC203" s="11">
        <v>0</v>
      </c>
    </row>
    <row r="204" spans="17:29" ht="15" thickBot="1" x14ac:dyDescent="0.35">
      <c r="Q204" s="10" t="s">
        <v>224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531.9</v>
      </c>
      <c r="Z204" s="11">
        <v>531.9</v>
      </c>
      <c r="AA204" s="11">
        <v>1000</v>
      </c>
      <c r="AB204" s="11">
        <v>468.1</v>
      </c>
      <c r="AC204" s="11">
        <v>46.81</v>
      </c>
    </row>
    <row r="205" spans="17:29" ht="15" thickBot="1" x14ac:dyDescent="0.35">
      <c r="Q205" s="10" t="s">
        <v>225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531.9</v>
      </c>
      <c r="Y205" s="11">
        <v>0</v>
      </c>
      <c r="Z205" s="11">
        <v>531.9</v>
      </c>
      <c r="AA205" s="11">
        <v>0</v>
      </c>
      <c r="AB205" s="11">
        <v>-531.9</v>
      </c>
      <c r="AC205" s="11">
        <v>0</v>
      </c>
    </row>
    <row r="206" spans="17:29" ht="15" thickBot="1" x14ac:dyDescent="0.35">
      <c r="Q206" s="10" t="s">
        <v>226</v>
      </c>
      <c r="R206" s="11">
        <v>0</v>
      </c>
      <c r="S206" s="11">
        <v>0</v>
      </c>
      <c r="T206" s="11">
        <v>0</v>
      </c>
      <c r="U206" s="11">
        <v>0</v>
      </c>
      <c r="V206" s="11">
        <v>531.9</v>
      </c>
      <c r="W206" s="11">
        <v>0</v>
      </c>
      <c r="X206" s="11">
        <v>531.9</v>
      </c>
      <c r="Y206" s="11">
        <v>0</v>
      </c>
      <c r="Z206" s="11">
        <v>1063.8</v>
      </c>
      <c r="AA206" s="11">
        <v>1000</v>
      </c>
      <c r="AB206" s="11">
        <v>-63.8</v>
      </c>
      <c r="AC206" s="11">
        <v>-6.38</v>
      </c>
    </row>
    <row r="207" spans="17:29" ht="15" thickBot="1" x14ac:dyDescent="0.35">
      <c r="Q207" s="10" t="s">
        <v>227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531.9</v>
      </c>
      <c r="Z207" s="11">
        <v>531.9</v>
      </c>
      <c r="AA207" s="11">
        <v>1000</v>
      </c>
      <c r="AB207" s="11">
        <v>468.1</v>
      </c>
      <c r="AC207" s="11">
        <v>46.81</v>
      </c>
    </row>
    <row r="208" spans="17:29" ht="15" thickBot="1" x14ac:dyDescent="0.35">
      <c r="Q208" s="10" t="s">
        <v>228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531.9</v>
      </c>
      <c r="Z208" s="11">
        <v>531.9</v>
      </c>
      <c r="AA208" s="11">
        <v>1000</v>
      </c>
      <c r="AB208" s="11">
        <v>468.1</v>
      </c>
      <c r="AC208" s="11">
        <v>46.81</v>
      </c>
    </row>
    <row r="209" spans="17:29" ht="15" thickBot="1" x14ac:dyDescent="0.35">
      <c r="Q209" s="10" t="s">
        <v>229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531.9</v>
      </c>
      <c r="Z209" s="11">
        <v>531.9</v>
      </c>
      <c r="AA209" s="11">
        <v>0</v>
      </c>
      <c r="AB209" s="11">
        <v>-531.9</v>
      </c>
      <c r="AC209" s="11">
        <v>0</v>
      </c>
    </row>
    <row r="210" spans="17:29" ht="15" thickBot="1" x14ac:dyDescent="0.35">
      <c r="Q210" s="10" t="s">
        <v>230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531.9</v>
      </c>
      <c r="Y210" s="11">
        <v>0</v>
      </c>
      <c r="Z210" s="11">
        <v>531.9</v>
      </c>
      <c r="AA210" s="11">
        <v>1000</v>
      </c>
      <c r="AB210" s="11">
        <v>468.1</v>
      </c>
      <c r="AC210" s="11">
        <v>46.81</v>
      </c>
    </row>
    <row r="211" spans="17:29" ht="15" thickBot="1" x14ac:dyDescent="0.35">
      <c r="Q211" s="10" t="s">
        <v>231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531.9</v>
      </c>
      <c r="Y211" s="11">
        <v>0</v>
      </c>
      <c r="Z211" s="11">
        <v>531.9</v>
      </c>
      <c r="AA211" s="11">
        <v>1000</v>
      </c>
      <c r="AB211" s="11">
        <v>468.1</v>
      </c>
      <c r="AC211" s="11">
        <v>46.81</v>
      </c>
    </row>
    <row r="212" spans="17:29" ht="15" thickBot="1" x14ac:dyDescent="0.35">
      <c r="Q212" s="10" t="s">
        <v>232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</row>
    <row r="213" spans="17:29" ht="15" thickBot="1" x14ac:dyDescent="0.35">
      <c r="Q213" s="10" t="s">
        <v>233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531.9</v>
      </c>
      <c r="Y213" s="11">
        <v>0</v>
      </c>
      <c r="Z213" s="11">
        <v>531.9</v>
      </c>
      <c r="AA213" s="11">
        <v>1000</v>
      </c>
      <c r="AB213" s="11">
        <v>468.1</v>
      </c>
      <c r="AC213" s="11">
        <v>46.81</v>
      </c>
    </row>
    <row r="214" spans="17:29" ht="15" thickBot="1" x14ac:dyDescent="0.35">
      <c r="Q214" s="10" t="s">
        <v>234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531.9</v>
      </c>
      <c r="Y214" s="11">
        <v>0</v>
      </c>
      <c r="Z214" s="11">
        <v>531.9</v>
      </c>
      <c r="AA214" s="11">
        <v>0</v>
      </c>
      <c r="AB214" s="11">
        <v>-531.9</v>
      </c>
      <c r="AC214" s="11">
        <v>0</v>
      </c>
    </row>
    <row r="215" spans="17:29" ht="15" thickBot="1" x14ac:dyDescent="0.35">
      <c r="Q215" s="10" t="s">
        <v>235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531.9</v>
      </c>
      <c r="Y215" s="11">
        <v>0</v>
      </c>
      <c r="Z215" s="11">
        <v>531.9</v>
      </c>
      <c r="AA215" s="11">
        <v>0</v>
      </c>
      <c r="AB215" s="11">
        <v>-531.9</v>
      </c>
      <c r="AC215" s="11">
        <v>0</v>
      </c>
    </row>
    <row r="216" spans="17:29" ht="15" thickBot="1" x14ac:dyDescent="0.35"/>
    <row r="217" spans="17:29" ht="15" thickBot="1" x14ac:dyDescent="0.35">
      <c r="Q217" s="12" t="s">
        <v>296</v>
      </c>
      <c r="R217" s="13">
        <v>1595.7</v>
      </c>
    </row>
    <row r="218" spans="17:29" ht="15" thickBot="1" x14ac:dyDescent="0.35">
      <c r="Q218" s="12" t="s">
        <v>297</v>
      </c>
      <c r="R218" s="13">
        <v>0</v>
      </c>
    </row>
    <row r="219" spans="17:29" ht="15" thickBot="1" x14ac:dyDescent="0.35">
      <c r="Q219" s="12" t="s">
        <v>298</v>
      </c>
      <c r="R219" s="13">
        <v>24999.3</v>
      </c>
    </row>
    <row r="220" spans="17:29" ht="15" thickBot="1" x14ac:dyDescent="0.35">
      <c r="Q220" s="12" t="s">
        <v>299</v>
      </c>
      <c r="R220" s="13">
        <v>25000</v>
      </c>
    </row>
    <row r="221" spans="17:29" ht="15" thickBot="1" x14ac:dyDescent="0.35">
      <c r="Q221" s="12" t="s">
        <v>300</v>
      </c>
      <c r="R221" s="13">
        <v>-0.7</v>
      </c>
    </row>
    <row r="222" spans="17:29" ht="15" thickBot="1" x14ac:dyDescent="0.35">
      <c r="Q222" s="12" t="s">
        <v>301</v>
      </c>
      <c r="R222" s="13"/>
    </row>
    <row r="223" spans="17:29" ht="15" thickBot="1" x14ac:dyDescent="0.35">
      <c r="Q223" s="12" t="s">
        <v>302</v>
      </c>
      <c r="R223" s="13"/>
    </row>
    <row r="224" spans="17:29" ht="15" thickBot="1" x14ac:dyDescent="0.35">
      <c r="Q224" s="12" t="s">
        <v>303</v>
      </c>
      <c r="R224" s="13">
        <v>0</v>
      </c>
    </row>
  </sheetData>
  <pageMargins left="0.75" right="0.75" top="1" bottom="1" header="0.5" footer="0.5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workbookViewId="0"/>
  </sheetViews>
  <sheetFormatPr defaultRowHeight="14.4" x14ac:dyDescent="0.3"/>
  <cols>
    <col min="1" max="1" width="80" customWidth="1"/>
  </cols>
  <sheetData>
    <row r="1" spans="1:1" ht="15.6" x14ac:dyDescent="0.3">
      <c r="A1" s="4" t="s">
        <v>121</v>
      </c>
    </row>
    <row r="3" spans="1:1" ht="15.6" x14ac:dyDescent="0.3">
      <c r="A3" s="4" t="s">
        <v>122</v>
      </c>
    </row>
    <row r="4" spans="1:1" x14ac:dyDescent="0.3">
      <c r="A4" t="s">
        <v>123</v>
      </c>
    </row>
    <row r="6" spans="1:1" ht="15.6" x14ac:dyDescent="0.3">
      <c r="A6" s="4" t="s">
        <v>124</v>
      </c>
    </row>
    <row r="7" spans="1:1" x14ac:dyDescent="0.3">
      <c r="A7" t="s">
        <v>125</v>
      </c>
    </row>
    <row r="8" spans="1:1" x14ac:dyDescent="0.3">
      <c r="A8" t="s">
        <v>126</v>
      </c>
    </row>
    <row r="9" spans="1:1" x14ac:dyDescent="0.3">
      <c r="A9" t="s">
        <v>127</v>
      </c>
    </row>
    <row r="11" spans="1:1" ht="15.6" x14ac:dyDescent="0.3">
      <c r="A11" s="4" t="s">
        <v>128</v>
      </c>
    </row>
    <row r="12" spans="1:1" x14ac:dyDescent="0.3">
      <c r="A12" t="s">
        <v>129</v>
      </c>
    </row>
    <row r="13" spans="1:1" x14ac:dyDescent="0.3">
      <c r="A13" t="s">
        <v>130</v>
      </c>
    </row>
    <row r="14" spans="1:1" x14ac:dyDescent="0.3">
      <c r="A14" t="s">
        <v>131</v>
      </c>
    </row>
    <row r="15" spans="1:1" x14ac:dyDescent="0.3">
      <c r="A15" t="s">
        <v>132</v>
      </c>
    </row>
    <row r="17" spans="1:1" ht="15.6" x14ac:dyDescent="0.3">
      <c r="A17" s="4" t="s">
        <v>133</v>
      </c>
    </row>
    <row r="18" spans="1:1" x14ac:dyDescent="0.3">
      <c r="A18" t="s">
        <v>134</v>
      </c>
    </row>
    <row r="19" spans="1:1" x14ac:dyDescent="0.3">
      <c r="A19" t="s">
        <v>135</v>
      </c>
    </row>
    <row r="21" spans="1:1" ht="15.6" x14ac:dyDescent="0.3">
      <c r="A21" s="4" t="s">
        <v>136</v>
      </c>
    </row>
    <row r="22" spans="1:1" x14ac:dyDescent="0.3">
      <c r="A22" t="s">
        <v>137</v>
      </c>
    </row>
    <row r="23" spans="1:1" x14ac:dyDescent="0.3">
      <c r="A23" t="s">
        <v>138</v>
      </c>
    </row>
    <row r="24" spans="1:1" x14ac:dyDescent="0.3">
      <c r="A24" t="s">
        <v>139</v>
      </c>
    </row>
    <row r="26" spans="1:1" ht="15.6" x14ac:dyDescent="0.3">
      <c r="A26" s="4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3" spans="1:1" x14ac:dyDescent="0.3">
      <c r="A33" t="s">
        <v>145</v>
      </c>
    </row>
    <row r="34" spans="1:1" x14ac:dyDescent="0.3">
      <c r="A34" t="s">
        <v>146</v>
      </c>
    </row>
    <row r="35" spans="1:1" x14ac:dyDescent="0.3">
      <c r="A35" t="s">
        <v>147</v>
      </c>
    </row>
    <row r="37" spans="1:1" x14ac:dyDescent="0.3">
      <c r="A37" t="s">
        <v>148</v>
      </c>
    </row>
    <row r="38" spans="1:1" x14ac:dyDescent="0.3">
      <c r="A38" t="s">
        <v>149</v>
      </c>
    </row>
    <row r="39" spans="1:1" x14ac:dyDescent="0.3">
      <c r="A39" t="s">
        <v>150</v>
      </c>
    </row>
    <row r="40" spans="1:1" x14ac:dyDescent="0.3">
      <c r="A40" t="s">
        <v>151</v>
      </c>
    </row>
    <row r="42" spans="1:1" x14ac:dyDescent="0.3">
      <c r="A42" t="s">
        <v>152</v>
      </c>
    </row>
    <row r="43" spans="1:1" x14ac:dyDescent="0.3">
      <c r="A43" t="s">
        <v>153</v>
      </c>
    </row>
    <row r="44" spans="1:1" x14ac:dyDescent="0.3">
      <c r="A44" t="s">
        <v>154</v>
      </c>
    </row>
    <row r="45" spans="1:1" x14ac:dyDescent="0.3">
      <c r="A45" t="s">
        <v>155</v>
      </c>
    </row>
    <row r="46" spans="1:1" x14ac:dyDescent="0.3">
      <c r="A46" t="s">
        <v>156</v>
      </c>
    </row>
    <row r="47" spans="1:1" x14ac:dyDescent="0.3">
      <c r="A47" t="s">
        <v>157</v>
      </c>
    </row>
    <row r="48" spans="1:1" x14ac:dyDescent="0.3">
      <c r="A48" t="s">
        <v>158</v>
      </c>
    </row>
    <row r="49" spans="1:1" x14ac:dyDescent="0.3">
      <c r="A49" t="s">
        <v>159</v>
      </c>
    </row>
    <row r="50" spans="1:1" x14ac:dyDescent="0.3">
      <c r="A50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sqref="A1:E9"/>
    </sheetView>
  </sheetViews>
  <sheetFormatPr defaultRowHeight="14.4" x14ac:dyDescent="0.3"/>
  <cols>
    <col min="1" max="4" width="30" customWidth="1"/>
  </cols>
  <sheetData>
    <row r="1" spans="1:4" x14ac:dyDescent="0.3">
      <c r="A1" s="5" t="s">
        <v>161</v>
      </c>
      <c r="B1" s="5" t="s">
        <v>162</v>
      </c>
      <c r="C1" s="5" t="s">
        <v>163</v>
      </c>
      <c r="D1" s="5" t="s">
        <v>164</v>
      </c>
    </row>
    <row r="2" spans="1:4" x14ac:dyDescent="0.3">
      <c r="A2" t="s">
        <v>3</v>
      </c>
      <c r="B2">
        <v>-0.4667</v>
      </c>
      <c r="C2" t="s">
        <v>165</v>
      </c>
      <c r="D2" t="s">
        <v>166</v>
      </c>
    </row>
    <row r="3" spans="1:4" x14ac:dyDescent="0.3">
      <c r="A3" t="s">
        <v>2</v>
      </c>
      <c r="B3">
        <v>0.28399999999999997</v>
      </c>
      <c r="C3" t="s">
        <v>167</v>
      </c>
      <c r="D3" t="s">
        <v>168</v>
      </c>
    </row>
    <row r="4" spans="1:4" x14ac:dyDescent="0.3">
      <c r="A4" t="s">
        <v>6</v>
      </c>
      <c r="C4" t="s">
        <v>165</v>
      </c>
      <c r="D4" t="s">
        <v>166</v>
      </c>
    </row>
    <row r="5" spans="1:4" x14ac:dyDescent="0.3">
      <c r="A5" t="s">
        <v>8</v>
      </c>
      <c r="B5">
        <v>0.45269999999999999</v>
      </c>
      <c r="C5" t="s">
        <v>167</v>
      </c>
      <c r="D5" t="s">
        <v>168</v>
      </c>
    </row>
    <row r="6" spans="1:4" x14ac:dyDescent="0.3">
      <c r="A6" t="s">
        <v>7</v>
      </c>
      <c r="B6">
        <v>-0.1429</v>
      </c>
      <c r="C6" t="s">
        <v>165</v>
      </c>
      <c r="D6" t="s">
        <v>166</v>
      </c>
    </row>
    <row r="7" spans="1:4" x14ac:dyDescent="0.3">
      <c r="A7" t="s">
        <v>4</v>
      </c>
      <c r="B7">
        <v>-9.6299999999999997E-2</v>
      </c>
      <c r="C7" t="s">
        <v>165</v>
      </c>
      <c r="D7" t="s">
        <v>166</v>
      </c>
    </row>
    <row r="8" spans="1:4" x14ac:dyDescent="0.3">
      <c r="A8" t="s">
        <v>5</v>
      </c>
      <c r="B8">
        <v>-4.02E-2</v>
      </c>
      <c r="C8" t="s">
        <v>165</v>
      </c>
      <c r="D8" t="s">
        <v>166</v>
      </c>
    </row>
    <row r="9" spans="1:4" x14ac:dyDescent="0.3">
      <c r="A9" t="s">
        <v>9</v>
      </c>
      <c r="B9">
        <v>-2.4799999999999999E-2</v>
      </c>
      <c r="C9" t="s">
        <v>165</v>
      </c>
      <c r="D9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OAM Matrix</vt:lpstr>
      <vt:lpstr>COCO Input Format</vt:lpstr>
      <vt:lpstr>Instructions</vt:lpstr>
      <vt:lpstr>Correlation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Dulguun Sukhochir</cp:lastModifiedBy>
  <dcterms:created xsi:type="dcterms:W3CDTF">2025-10-25T10:59:18Z</dcterms:created>
  <dcterms:modified xsi:type="dcterms:W3CDTF">2025-10-25T11:36:28Z</dcterms:modified>
</cp:coreProperties>
</file>