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Raw Data" sheetId="2" state="visible" r:id="rId2"/>
    <sheet name="Statistics" sheetId="3" state="visible" r:id="rId3"/>
    <sheet name="Rankings" sheetId="4" state="visible" r:id="rId4"/>
    <sheet name="Key Findings" sheetId="5" state="visible" r:id="rId5"/>
    <sheet name="Chart Data" sheetId="6" state="visible" r:id="rId6"/>
    <sheet name="Abstract Help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2" t="inlineStr">
        <is>
          <t>Item</t>
        </is>
      </c>
      <c r="B1" s="2" t="inlineStr">
        <is>
          <t>Value</t>
        </is>
      </c>
    </row>
    <row r="2">
      <c r="A2" s="3" t="inlineStr">
        <is>
          <t>Project Title</t>
        </is>
      </c>
      <c r="B2" s="4" t="inlineStr">
        <is>
          <t>Comparative Analysis of ML Algorithms for Sentiment Classification</t>
        </is>
      </c>
    </row>
    <row r="3">
      <c r="A3" s="3" t="inlineStr">
        <is>
          <t>Student Name</t>
        </is>
      </c>
      <c r="B3" s="4" t="inlineStr">
        <is>
          <t>[Your Name Here]</t>
        </is>
      </c>
    </row>
    <row r="4">
      <c r="A4" s="3" t="inlineStr">
        <is>
          <t>Date</t>
        </is>
      </c>
      <c r="B4" s="4">
        <f>TODAY()</f>
        <v/>
      </c>
    </row>
    <row r="5">
      <c r="A5" s="3" t="inlineStr">
        <is>
          <t>Dataset</t>
        </is>
      </c>
      <c r="B5" s="4" t="inlineStr">
        <is>
          <t>IMDB Movie Reviews</t>
        </is>
      </c>
    </row>
    <row r="6">
      <c r="A6" s="3" t="inlineStr">
        <is>
          <t>Total Samples</t>
        </is>
      </c>
      <c r="B6" s="4" t="inlineStr">
        <is>
          <t>25000</t>
        </is>
      </c>
    </row>
    <row r="7">
      <c r="A7" s="3" t="inlineStr">
        <is>
          <t>Training Samples</t>
        </is>
      </c>
      <c r="B7" s="4" t="inlineStr">
        <is>
          <t>20000</t>
        </is>
      </c>
    </row>
    <row r="8">
      <c r="A8" s="3" t="inlineStr">
        <is>
          <t>Testing Samples</t>
        </is>
      </c>
      <c r="B8" s="4" t="inlineStr">
        <is>
          <t>5000</t>
        </is>
      </c>
    </row>
    <row r="9">
      <c r="A9" s="3" t="inlineStr">
        <is>
          <t>Algorithms Tested</t>
        </is>
      </c>
      <c r="B9" s="4">
        <f>COUNTA('Raw Data'!A2:A100)</f>
        <v/>
      </c>
    </row>
    <row r="10">
      <c r="A10" s="3" t="inlineStr">
        <is>
          <t>Best Algorithm</t>
        </is>
      </c>
      <c r="B10" s="4">
        <f>INDEX('Raw Data'!A:A,MATCH(MAX('Raw Data'!B:B),'Raw Data'!B:B,0))</f>
        <v/>
      </c>
    </row>
    <row r="11">
      <c r="A11" s="3" t="inlineStr">
        <is>
          <t>Best Accuracy (%)</t>
        </is>
      </c>
      <c r="B11" s="4">
        <f>MAX('Raw Data'!B:B)</f>
        <v/>
      </c>
    </row>
    <row r="12">
      <c r="A12" s="3" t="inlineStr">
        <is>
          <t>Status</t>
        </is>
      </c>
      <c r="B12" s="4" t="inlineStr">
        <is>
          <t>Experimental Phase Complete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20" customWidth="1" min="3" max="3"/>
    <col width="9" customWidth="1" min="4" max="4"/>
    <col width="20" customWidth="1" min="5" max="5"/>
    <col width="21" customWidth="1" min="6" max="6"/>
    <col width="22" customWidth="1" min="7" max="7"/>
  </cols>
  <sheetData>
    <row r="1">
      <c r="A1" s="2" t="inlineStr">
        <is>
          <t>Algorithm</t>
        </is>
      </c>
      <c r="B1" s="2" t="inlineStr">
        <is>
          <t>Accuracy</t>
        </is>
      </c>
      <c r="C1" s="2" t="inlineStr">
        <is>
          <t>Precision</t>
        </is>
      </c>
      <c r="D1" s="2" t="inlineStr">
        <is>
          <t>Recall</t>
        </is>
      </c>
      <c r="E1" s="2" t="inlineStr">
        <is>
          <t>F1-Score</t>
        </is>
      </c>
      <c r="F1" s="2" t="inlineStr">
        <is>
          <t>Training Time (s)</t>
        </is>
      </c>
      <c r="G1" s="2" t="inlineStr">
        <is>
          <t>Prediction Time (s)</t>
        </is>
      </c>
    </row>
    <row r="2">
      <c r="A2" s="3" t="inlineStr">
        <is>
          <t>Logistic Regression</t>
        </is>
      </c>
      <c r="B2" s="5" t="n">
        <v>88.3</v>
      </c>
      <c r="C2" s="5" t="n">
        <v>88.30750827162123</v>
      </c>
      <c r="D2" s="5" t="n">
        <v>88.3</v>
      </c>
      <c r="E2" s="5" t="n">
        <v>88.29942667190691</v>
      </c>
      <c r="F2" s="5" t="n">
        <v>0.1363439559936523</v>
      </c>
      <c r="G2" s="5" t="n">
        <v>0.0008985996246337</v>
      </c>
    </row>
    <row r="3">
      <c r="A3" s="3" t="inlineStr">
        <is>
          <t>Naive Bayes</t>
        </is>
      </c>
      <c r="B3" s="5" t="n">
        <v>84.98</v>
      </c>
      <c r="C3" s="5" t="n">
        <v>84.9812593253357</v>
      </c>
      <c r="D3" s="5" t="n">
        <v>84.98</v>
      </c>
      <c r="E3" s="5" t="n">
        <v>84.97986481878337</v>
      </c>
      <c r="F3" s="5" t="n">
        <v>0.0069565773010253</v>
      </c>
      <c r="G3" s="5" t="n">
        <v>0.0016298294067382</v>
      </c>
    </row>
    <row r="4">
      <c r="A4" s="3" t="inlineStr">
        <is>
          <t>Support Vector Machine</t>
        </is>
      </c>
      <c r="B4" s="5" t="n">
        <v>87.3</v>
      </c>
      <c r="C4" s="5" t="n">
        <v>87.30000596800095</v>
      </c>
      <c r="D4" s="5" t="n">
        <v>87.3</v>
      </c>
      <c r="E4" s="5" t="n">
        <v>87.299999492</v>
      </c>
      <c r="F4" s="5" t="n">
        <v>0.1718204021453857</v>
      </c>
      <c r="G4" s="5" t="n">
        <v>0.0006525516510009</v>
      </c>
    </row>
    <row r="5">
      <c r="A5" s="3" t="inlineStr">
        <is>
          <t>Random Forest</t>
        </is>
      </c>
      <c r="B5" s="5" t="n">
        <v>84.16</v>
      </c>
      <c r="C5" s="5" t="n">
        <v>84.16264555527181</v>
      </c>
      <c r="D5" s="5" t="n">
        <v>84.16</v>
      </c>
      <c r="E5" s="5" t="n">
        <v>84.15969333166289</v>
      </c>
      <c r="F5" s="5" t="n">
        <v>3.471717119216919</v>
      </c>
      <c r="G5" s="5" t="n">
        <v>0.0401341915130615</v>
      </c>
    </row>
    <row r="6">
      <c r="A6" s="3" t="inlineStr">
        <is>
          <t>Decision Tree</t>
        </is>
      </c>
      <c r="B6" s="5" t="n">
        <v>70.42</v>
      </c>
      <c r="C6" s="5" t="n">
        <v>70.42850152519472</v>
      </c>
      <c r="D6" s="5" t="n">
        <v>70.42</v>
      </c>
      <c r="E6" s="5" t="n">
        <v>70.41692217658326</v>
      </c>
      <c r="F6" s="5" t="n">
        <v>14.67942643165588</v>
      </c>
      <c r="G6" s="5" t="n">
        <v>0.0032205581665039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2" customWidth="1" min="1" max="1"/>
    <col width="29" customWidth="1" min="2" max="2"/>
    <col width="27" customWidth="1" min="3" max="3"/>
    <col width="25" customWidth="1" min="4" max="4"/>
    <col width="25" customWidth="1" min="5" max="5"/>
    <col width="9" customWidth="1" min="6" max="6"/>
  </cols>
  <sheetData>
    <row r="1">
      <c r="A1" s="2" t="inlineStr">
        <is>
          <t>Metric</t>
        </is>
      </c>
      <c r="B1" s="2" t="inlineStr">
        <is>
          <t>Mean</t>
        </is>
      </c>
      <c r="C1" s="2" t="inlineStr">
        <is>
          <t>Std Dev</t>
        </is>
      </c>
      <c r="D1" s="2" t="inlineStr">
        <is>
          <t>Min</t>
        </is>
      </c>
      <c r="E1" s="2" t="inlineStr">
        <is>
          <t>Max</t>
        </is>
      </c>
      <c r="F1" s="2" t="inlineStr">
        <is>
          <t>Range</t>
        </is>
      </c>
    </row>
    <row r="2">
      <c r="A2" s="3" t="inlineStr">
        <is>
          <t>Accuracy (%)</t>
        </is>
      </c>
      <c r="B2" s="4">
        <f>AVERAGE('Raw Data'!B2:B6)</f>
        <v/>
      </c>
      <c r="C2" s="4">
        <f>STDEV('Raw Data'!B2:B6)</f>
        <v/>
      </c>
      <c r="D2" s="4">
        <f>MIN('Raw Data'!B2:B6)</f>
        <v/>
      </c>
      <c r="E2" s="4">
        <f>MAX('Raw Data'!B2:B6)</f>
        <v/>
      </c>
      <c r="F2" s="4">
        <f>E2-D2</f>
        <v/>
      </c>
    </row>
    <row r="3">
      <c r="A3" s="3" t="inlineStr">
        <is>
          <t>Precision (%)</t>
        </is>
      </c>
      <c r="B3" s="4">
        <f>AVERAGE('Raw Data'!C2:C6)</f>
        <v/>
      </c>
      <c r="C3" s="4">
        <f>STDEV('Raw Data'!C2:C6)</f>
        <v/>
      </c>
      <c r="D3" s="4">
        <f>MIN('Raw Data'!C2:C6)</f>
        <v/>
      </c>
      <c r="E3" s="4">
        <f>MAX('Raw Data'!C2:C6)</f>
        <v/>
      </c>
      <c r="F3" s="4">
        <f>E3-D3</f>
        <v/>
      </c>
    </row>
    <row r="4">
      <c r="A4" s="3" t="inlineStr">
        <is>
          <t>Recall (%)</t>
        </is>
      </c>
      <c r="B4" s="4">
        <f>AVERAGE('Raw Data'!D2:D6)</f>
        <v/>
      </c>
      <c r="C4" s="4">
        <f>STDEV('Raw Data'!D2:D6)</f>
        <v/>
      </c>
      <c r="D4" s="4">
        <f>MIN('Raw Data'!D2:D6)</f>
        <v/>
      </c>
      <c r="E4" s="4">
        <f>MAX('Raw Data'!D2:D6)</f>
        <v/>
      </c>
      <c r="F4" s="4">
        <f>E4-D4</f>
        <v/>
      </c>
    </row>
    <row r="5">
      <c r="A5" s="3" t="inlineStr">
        <is>
          <t>F1-Score (%)</t>
        </is>
      </c>
      <c r="B5" s="4">
        <f>AVERAGE('Raw Data'!E2:E6)</f>
        <v/>
      </c>
      <c r="C5" s="4">
        <f>STDEV('Raw Data'!E2:E6)</f>
        <v/>
      </c>
      <c r="D5" s="4">
        <f>MIN('Raw Data'!E2:E6)</f>
        <v/>
      </c>
      <c r="E5" s="4">
        <f>MAX('Raw Data'!E2:E6)</f>
        <v/>
      </c>
      <c r="F5" s="4">
        <f>E5-D5</f>
        <v/>
      </c>
    </row>
    <row r="6">
      <c r="A6" s="3" t="inlineStr">
        <is>
          <t>Training Time (s)</t>
        </is>
      </c>
      <c r="B6" s="4">
        <f>AVERAGE('Raw Data'!F2:F6)</f>
        <v/>
      </c>
      <c r="C6" s="4">
        <f>STDEV('Raw Data'!F2:F6)</f>
        <v/>
      </c>
      <c r="D6" s="4">
        <f>MIN('Raw Data'!F2:F6)</f>
        <v/>
      </c>
      <c r="E6" s="4">
        <f>MAX('Raw Data'!F2:F6)</f>
        <v/>
      </c>
      <c r="F6" s="4">
        <f>E6-D6</f>
        <v/>
      </c>
    </row>
    <row r="7">
      <c r="A7" s="3" t="inlineStr">
        <is>
          <t>Prediction Time (s)</t>
        </is>
      </c>
      <c r="B7" s="4">
        <f>AVERAGE('Raw Data'!G2:G6)</f>
        <v/>
      </c>
      <c r="C7" s="4">
        <f>STDEV('Raw Data'!G2:G6)</f>
        <v/>
      </c>
      <c r="D7" s="4">
        <f>MIN('Raw Data'!G2:G6)</f>
        <v/>
      </c>
      <c r="E7" s="4">
        <f>MAX('Raw Data'!G2:G6)</f>
        <v/>
      </c>
      <c r="F7" s="4">
        <f>E7-D7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39" customWidth="1" min="3" max="3"/>
    <col width="60" customWidth="1" min="4" max="4"/>
    <col width="60" customWidth="1" min="5" max="5"/>
    <col width="60" customWidth="1" min="6" max="6"/>
  </cols>
  <sheetData>
    <row r="1">
      <c r="A1" s="2" t="inlineStr">
        <is>
          <t>Rank</t>
        </is>
      </c>
      <c r="B1" s="2" t="inlineStr">
        <is>
          <t>Algorithm</t>
        </is>
      </c>
      <c r="C1" s="2" t="inlineStr">
        <is>
          <t>Accuracy (%)</t>
        </is>
      </c>
      <c r="D1" s="2" t="inlineStr">
        <is>
          <t>Precision (%)</t>
        </is>
      </c>
      <c r="E1" s="2" t="inlineStr">
        <is>
          <t>Recall (%)</t>
        </is>
      </c>
      <c r="F1" s="2" t="inlineStr">
        <is>
          <t>F1-Score (%)</t>
        </is>
      </c>
    </row>
    <row r="2">
      <c r="A2" s="3" t="n">
        <v>1</v>
      </c>
      <c r="B2" s="4">
        <f>IFERROR(INDEX('Raw Data'!A:A,MATCH(LARGE('Raw Data'!B:B,1),'Raw Data'!B:B,0)),"")</f>
        <v/>
      </c>
      <c r="C2" s="4">
        <f>IFERROR(LARGE('Raw Data'!B:B,1),"")</f>
        <v/>
      </c>
      <c r="D2" s="4">
        <f>IFERROR(INDEX('Raw Data'!C:C,MATCH(C2,'Raw Data'!B:B,0)),"")</f>
        <v/>
      </c>
      <c r="E2" s="4">
        <f>IFERROR(INDEX('Raw Data'!D:D,MATCH(C2,'Raw Data'!B:B,0)),"")</f>
        <v/>
      </c>
      <c r="F2" s="4">
        <f>IFERROR(INDEX('Raw Data'!E:E,MATCH(C2,'Raw Data'!B:B,0)),"")</f>
        <v/>
      </c>
    </row>
    <row r="3">
      <c r="A3" s="3" t="n">
        <v>2</v>
      </c>
      <c r="B3" s="4">
        <f>IFERROR(INDEX('Raw Data'!A:A,MATCH(LARGE('Raw Data'!B:B,2),'Raw Data'!B:B,0)),"")</f>
        <v/>
      </c>
      <c r="C3" s="4">
        <f>IFERROR(LARGE('Raw Data'!B:B,2),"")</f>
        <v/>
      </c>
      <c r="D3" s="4">
        <f>IFERROR(INDEX('Raw Data'!C:C,MATCH(C3,'Raw Data'!B:B,0)),"")</f>
        <v/>
      </c>
      <c r="E3" s="4">
        <f>IFERROR(INDEX('Raw Data'!D:D,MATCH(C3,'Raw Data'!B:B,0)),"")</f>
        <v/>
      </c>
      <c r="F3" s="4">
        <f>IFERROR(INDEX('Raw Data'!E:E,MATCH(C3,'Raw Data'!B:B,0)),"")</f>
        <v/>
      </c>
    </row>
    <row r="4">
      <c r="A4" s="3" t="n">
        <v>3</v>
      </c>
      <c r="B4" s="4">
        <f>IFERROR(INDEX('Raw Data'!A:A,MATCH(LARGE('Raw Data'!B:B,3),'Raw Data'!B:B,0)),"")</f>
        <v/>
      </c>
      <c r="C4" s="4">
        <f>IFERROR(LARGE('Raw Data'!B:B,3),"")</f>
        <v/>
      </c>
      <c r="D4" s="4">
        <f>IFERROR(INDEX('Raw Data'!C:C,MATCH(C4,'Raw Data'!B:B,0)),"")</f>
        <v/>
      </c>
      <c r="E4" s="4">
        <f>IFERROR(INDEX('Raw Data'!D:D,MATCH(C4,'Raw Data'!B:B,0)),"")</f>
        <v/>
      </c>
      <c r="F4" s="4">
        <f>IFERROR(INDEX('Raw Data'!E:E,MATCH(C4,'Raw Data'!B:B,0)),"")</f>
        <v/>
      </c>
    </row>
    <row r="5">
      <c r="A5" s="3" t="n">
        <v>4</v>
      </c>
      <c r="B5" s="4">
        <f>IFERROR(INDEX('Raw Data'!A:A,MATCH(LARGE('Raw Data'!B:B,4),'Raw Data'!B:B,0)),"")</f>
        <v/>
      </c>
      <c r="C5" s="4">
        <f>IFERROR(LARGE('Raw Data'!B:B,4),"")</f>
        <v/>
      </c>
      <c r="D5" s="4">
        <f>IFERROR(INDEX('Raw Data'!C:C,MATCH(C5,'Raw Data'!B:B,0)),"")</f>
        <v/>
      </c>
      <c r="E5" s="4">
        <f>IFERROR(INDEX('Raw Data'!D:D,MATCH(C5,'Raw Data'!B:B,0)),"")</f>
        <v/>
      </c>
      <c r="F5" s="4">
        <f>IFERROR(INDEX('Raw Data'!E:E,MATCH(C5,'Raw Data'!B:B,0)),"")</f>
        <v/>
      </c>
    </row>
    <row r="6">
      <c r="A6" s="3" t="n">
        <v>5</v>
      </c>
      <c r="B6" s="4">
        <f>IFERROR(INDEX('Raw Data'!A:A,MATCH(LARGE('Raw Data'!B:B,5),'Raw Data'!B:B,0)),"")</f>
        <v/>
      </c>
      <c r="C6" s="4">
        <f>IFERROR(LARGE('Raw Data'!B:B,5),"")</f>
        <v/>
      </c>
      <c r="D6" s="4">
        <f>IFERROR(INDEX('Raw Data'!C:C,MATCH(C6,'Raw Data'!B:B,0)),"")</f>
        <v/>
      </c>
      <c r="E6" s="4">
        <f>IFERROR(INDEX('Raw Data'!D:D,MATCH(C6,'Raw Data'!B:B,0)),"")</f>
        <v/>
      </c>
      <c r="F6" s="4">
        <f>IFERROR(INDEX('Raw Data'!E:E,MATCH(C6,'Raw Data'!B:B,0)),"")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1" customWidth="1" min="1" max="1"/>
    <col width="60" customWidth="1" min="2" max="2"/>
    <col width="31" customWidth="1" min="3" max="3"/>
  </cols>
  <sheetData>
    <row r="1">
      <c r="A1" s="2" t="inlineStr">
        <is>
          <t>Category</t>
        </is>
      </c>
      <c r="B1" s="2" t="inlineStr">
        <is>
          <t>Algorithm</t>
        </is>
      </c>
      <c r="C1" s="2" t="inlineStr">
        <is>
          <t>Value</t>
        </is>
      </c>
    </row>
    <row r="2">
      <c r="A2" s="3" t="inlineStr">
        <is>
          <t>Best Accuracy</t>
        </is>
      </c>
      <c r="B2" s="4">
        <f>INDEX('Raw Data'!A:A,MATCH(MAX('Raw Data'!B:B),'Raw Data'!B:B,0))</f>
        <v/>
      </c>
      <c r="C2" s="4">
        <f>MAX('Raw Data'!B:B)&amp;"%"</f>
        <v/>
      </c>
    </row>
    <row r="3">
      <c r="A3" s="3" t="inlineStr">
        <is>
          <t>Best Precision</t>
        </is>
      </c>
      <c r="B3" s="4">
        <f>INDEX('Raw Data'!A:A,MATCH(MAX('Raw Data'!C:C),'Raw Data'!C:C,0))</f>
        <v/>
      </c>
      <c r="C3" s="4">
        <f>MAX('Raw Data'!C:C)&amp;"%"</f>
        <v/>
      </c>
    </row>
    <row r="4">
      <c r="A4" s="3" t="inlineStr">
        <is>
          <t>Best Recall</t>
        </is>
      </c>
      <c r="B4" s="4">
        <f>INDEX('Raw Data'!A:A,MATCH(MAX('Raw Data'!D:D),'Raw Data'!D:D,0))</f>
        <v/>
      </c>
      <c r="C4" s="4">
        <f>MAX('Raw Data'!D:D)&amp;"%"</f>
        <v/>
      </c>
    </row>
    <row r="5">
      <c r="A5" s="3" t="inlineStr">
        <is>
          <t>Best F1-Score</t>
        </is>
      </c>
      <c r="B5" s="4">
        <f>INDEX('Raw Data'!A:A,MATCH(MAX('Raw Data'!E:E),'Raw Data'!E:E,0))</f>
        <v/>
      </c>
      <c r="C5" s="4">
        <f>MAX('Raw Data'!E:E)&amp;"%"</f>
        <v/>
      </c>
    </row>
    <row r="6">
      <c r="A6" s="3" t="inlineStr">
        <is>
          <t>Fastest Training</t>
        </is>
      </c>
      <c r="B6" s="4">
        <f>INDEX('Raw Data'!A:A,MATCH(MIN('Raw Data'!F:F),'Raw Data'!F:F,0))</f>
        <v/>
      </c>
      <c r="C6" s="4">
        <f>MIN('Raw Data'!F:F)&amp;" sec"</f>
        <v/>
      </c>
    </row>
    <row r="7">
      <c r="A7" s="3" t="inlineStr">
        <is>
          <t>Fastest Prediction</t>
        </is>
      </c>
      <c r="B7" s="4">
        <f>INDEX('Raw Data'!A:A,MATCH(MIN('Raw Data'!G:G),'Raw Data'!G:G,0))</f>
        <v/>
      </c>
      <c r="C7" s="4">
        <f>MIN('Raw Data'!G:G)&amp;" sec"</f>
        <v/>
      </c>
    </row>
    <row r="8">
      <c r="A8" s="3" t="inlineStr">
        <is>
          <t>Average Accuracy</t>
        </is>
      </c>
      <c r="B8" s="4" t="inlineStr">
        <is>
          <t>All Algorithms</t>
        </is>
      </c>
      <c r="C8" s="4">
        <f>AVERAGE('Raw Data'!B:B)&amp;"%"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2" t="inlineStr">
        <is>
          <t>Algorithm</t>
        </is>
      </c>
      <c r="B1" s="2" t="inlineStr">
        <is>
          <t>Accuracy</t>
        </is>
      </c>
      <c r="C1" s="2" t="inlineStr">
        <is>
          <t>Precision</t>
        </is>
      </c>
      <c r="D1" s="2" t="inlineStr">
        <is>
          <t>Recall</t>
        </is>
      </c>
      <c r="E1" s="2" t="inlineStr">
        <is>
          <t>F1-Score</t>
        </is>
      </c>
    </row>
    <row r="2">
      <c r="A2" s="3">
        <f>'Raw Data'!A2</f>
        <v/>
      </c>
      <c r="B2" s="4">
        <f>'Raw Data'!B2</f>
        <v/>
      </c>
      <c r="C2" s="4">
        <f>'Raw Data'!C2</f>
        <v/>
      </c>
      <c r="D2" s="4">
        <f>'Raw Data'!D2</f>
        <v/>
      </c>
      <c r="E2" s="4">
        <f>'Raw Data'!E2</f>
        <v/>
      </c>
    </row>
    <row r="3">
      <c r="A3" s="3">
        <f>'Raw Data'!A3</f>
        <v/>
      </c>
      <c r="B3" s="4">
        <f>'Raw Data'!B3</f>
        <v/>
      </c>
      <c r="C3" s="4">
        <f>'Raw Data'!C3</f>
        <v/>
      </c>
      <c r="D3" s="4">
        <f>'Raw Data'!D3</f>
        <v/>
      </c>
      <c r="E3" s="4">
        <f>'Raw Data'!E3</f>
        <v/>
      </c>
    </row>
    <row r="4">
      <c r="A4" s="3">
        <f>'Raw Data'!A4</f>
        <v/>
      </c>
      <c r="B4" s="4">
        <f>'Raw Data'!B4</f>
        <v/>
      </c>
      <c r="C4" s="4">
        <f>'Raw Data'!C4</f>
        <v/>
      </c>
      <c r="D4" s="4">
        <f>'Raw Data'!D4</f>
        <v/>
      </c>
      <c r="E4" s="4">
        <f>'Raw Data'!E4</f>
        <v/>
      </c>
    </row>
    <row r="5">
      <c r="A5" s="3">
        <f>'Raw Data'!A5</f>
        <v/>
      </c>
      <c r="B5" s="4">
        <f>'Raw Data'!B5</f>
        <v/>
      </c>
      <c r="C5" s="4">
        <f>'Raw Data'!C5</f>
        <v/>
      </c>
      <c r="D5" s="4">
        <f>'Raw Data'!D5</f>
        <v/>
      </c>
      <c r="E5" s="4">
        <f>'Raw Data'!E5</f>
        <v/>
      </c>
    </row>
    <row r="6">
      <c r="A6" s="3">
        <f>'Raw Data'!A6</f>
        <v/>
      </c>
      <c r="B6" s="4">
        <f>'Raw Data'!B6</f>
        <v/>
      </c>
      <c r="C6" s="4">
        <f>'Raw Data'!C6</f>
        <v/>
      </c>
      <c r="D6" s="4">
        <f>'Raw Data'!D6</f>
        <v/>
      </c>
      <c r="E6" s="4">
        <f>'Raw Data'!E6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2" t="inlineStr">
        <is>
          <t>Field</t>
        </is>
      </c>
      <c r="B1" s="2" t="inlineStr">
        <is>
          <t>Value (Copy this for abstract)</t>
        </is>
      </c>
    </row>
    <row r="2">
      <c r="A2" s="3" t="inlineStr">
        <is>
          <t>Best Algorithm</t>
        </is>
      </c>
      <c r="B2" s="4">
        <f>INDEX('Raw Data'!A:A,MATCH(MAX('Raw Data'!B:B),'Raw Data'!B:B,0))</f>
        <v/>
      </c>
    </row>
    <row r="3">
      <c r="A3" s="3" t="inlineStr">
        <is>
          <t>Best Accuracy</t>
        </is>
      </c>
      <c r="B3" s="4">
        <f>ROUND(MAX('Raw Data'!B:B),2)</f>
        <v/>
      </c>
    </row>
    <row r="4">
      <c r="A4" s="3" t="inlineStr">
        <is>
          <t>Best Precision</t>
        </is>
      </c>
      <c r="B4" s="4">
        <f>ROUND(MAX('Raw Data'!C:C),2)</f>
        <v/>
      </c>
    </row>
    <row r="5">
      <c r="A5" s="3" t="inlineStr">
        <is>
          <t>Best Recall</t>
        </is>
      </c>
      <c r="B5" s="4">
        <f>ROUND(MAX('Raw Data'!D:D),2)</f>
        <v/>
      </c>
    </row>
    <row r="6">
      <c r="A6" s="3" t="inlineStr">
        <is>
          <t>Best F1-Score</t>
        </is>
      </c>
      <c r="B6" s="4">
        <f>ROUND(MAX('Raw Data'!E:E),2)</f>
        <v/>
      </c>
    </row>
    <row r="7">
      <c r="A7" s="3" t="inlineStr">
        <is>
          <t>Fastest Algorithm</t>
        </is>
      </c>
      <c r="B7" s="4">
        <f>INDEX('Raw Data'!A:A,MATCH(MIN('Raw Data'!F:F),'Raw Data'!F:F,0))</f>
        <v/>
      </c>
    </row>
    <row r="8">
      <c r="A8" s="3" t="inlineStr">
        <is>
          <t>Fastest Training Time</t>
        </is>
      </c>
      <c r="B8" s="4">
        <f>ROUND(MIN('Raw Data'!F:F),2)</f>
        <v/>
      </c>
    </row>
    <row r="9">
      <c r="A9" s="3" t="inlineStr">
        <is>
          <t>Slowest Training Time</t>
        </is>
      </c>
      <c r="B9" s="4">
        <f>ROUND(MAX('Raw Data'!F:F),2)</f>
        <v/>
      </c>
    </row>
    <row r="10">
      <c r="A10" s="3" t="inlineStr">
        <is>
          <t>Average Accuracy</t>
        </is>
      </c>
      <c r="B10" s="4">
        <f>ROUND(AVERAGE('Raw Data'!B:B),2)</f>
        <v/>
      </c>
    </row>
    <row r="11">
      <c r="A11" s="3" t="inlineStr">
        <is>
          <t>Number of Algorithms</t>
        </is>
      </c>
      <c r="B11" s="4">
        <f>COUNTA('Raw Data'!A2:A100)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2026-01-18T13:29:46Z</dcterms:created>
  <dcterms:modified xsi:type="dcterms:W3CDTF">2026-01-18T13:29:46Z</dcterms:modified>
</cp:coreProperties>
</file>